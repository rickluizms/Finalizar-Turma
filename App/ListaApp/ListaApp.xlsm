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space\FinalizarTurma\App\ListaApp\"/>
    </mc:Choice>
  </mc:AlternateContent>
  <xr:revisionPtr revIDLastSave="0" documentId="13_ncr:1_{F9DD4F7D-DC3A-4799-82DC-4328D41EB833}" xr6:coauthVersionLast="47" xr6:coauthVersionMax="47" xr10:uidLastSave="{00000000-0000-0000-0000-000000000000}"/>
  <bookViews>
    <workbookView xWindow="2685" yWindow="2685" windowWidth="15375" windowHeight="8325" tabRatio="683" firstSheet="4" activeTab="4" xr2:uid="{D696D49D-0C0D-4FDA-99A1-4742ABF5D145}"/>
  </bookViews>
  <sheets>
    <sheet name="Header" sheetId="7" state="hidden" r:id="rId1"/>
    <sheet name="Certificados_table" sheetId="5" state="hidden" r:id="rId2"/>
    <sheet name="Termos_table" sheetId="9" state="hidden" r:id="rId3"/>
    <sheet name="Atividade_table" sheetId="10" state="hidden" r:id="rId4"/>
    <sheet name="Lista Certificados" sheetId="6" r:id="rId5"/>
    <sheet name="Lista Termos" sheetId="8" r:id="rId6"/>
    <sheet name="Lista Atividade" sheetId="11" r:id="rId7"/>
  </sheets>
  <definedNames>
    <definedName name="DadosExternos_1" localSheetId="3" hidden="1">Atividade_table!$A$1:$B$2</definedName>
    <definedName name="DadosExternos_1" localSheetId="1" hidden="1">Certificados_table!$A$1:$B$4</definedName>
    <definedName name="DadosExternos_1" localSheetId="2" hidden="1">Termos_table!$A$1:$B$4</definedName>
    <definedName name="DadosExternos_2" localSheetId="0" hidden="1">Header!$A$1:$D$4</definedName>
    <definedName name="Print_Area" localSheetId="6">'Lista Atividade'!$A$1:$H$42</definedName>
    <definedName name="Print_Area" localSheetId="4">'Lista Certificados'!$A$1:$H$42</definedName>
    <definedName name="Print_Area" localSheetId="5">'Lista Termos'!$A$1:$H$42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1" l="1"/>
  <c r="F4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8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C9" i="11"/>
  <c r="A9" i="11"/>
  <c r="A8" i="11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C8" i="8"/>
  <c r="C9" i="8"/>
  <c r="A9" i="8"/>
  <c r="A8" i="8"/>
  <c r="C6" i="11"/>
  <c r="C6" i="8"/>
  <c r="C6" i="6"/>
  <c r="E6" i="11"/>
  <c r="E6" i="8"/>
  <c r="H4" i="8"/>
  <c r="F4" i="8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9" i="6"/>
  <c r="C8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9" i="6"/>
  <c r="A8" i="6"/>
  <c r="E6" i="6"/>
  <c r="H4" i="6"/>
  <c r="F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F3FA8F-3833-4341-8AA3-E5F23EF371F6}" keepAlive="1" name="Consulta - Atividade_table" description="Conexão com a consulta 'Atividade_table' na pasta de trabalho." type="5" refreshedVersion="8" background="1" saveData="1">
    <dbPr connection="Provider=Microsoft.Mashup.OleDb.1;Data Source=$Workbook$;Location=Atividade_table;Extended Properties=&quot;&quot;" command="SELECT * FROM [Atividade_table]"/>
  </connection>
  <connection id="2" xr16:uid="{F8B2DBA5-EB8F-4B5E-AC94-B3CB662AF636}" keepAlive="1" name="Consulta - Certificados_table" description="Conexão com a consulta 'Certificados_table' na pasta de trabalho." type="5" refreshedVersion="8" background="1" saveData="1">
    <dbPr connection="Provider=Microsoft.Mashup.OleDb.1;Data Source=$Workbook$;Location=Certificados_table;Extended Properties=&quot;&quot;" command="SELECT * FROM [Certificados_table]"/>
  </connection>
  <connection id="3" xr16:uid="{1B68DACE-3C4F-4B63-AA0A-57E821895A4A}" keepAlive="1" name="Consulta - Header_table" description="Conexão com a consulta 'Header_table' na pasta de trabalho." type="5" refreshedVersion="8" background="1" saveData="1">
    <dbPr connection="Provider=Microsoft.Mashup.OleDb.1;Data Source=$Workbook$;Location=Header_table;Extended Properties=&quot;&quot;" command="SELECT * FROM [Header_table]"/>
  </connection>
  <connection id="4" xr16:uid="{9732707E-33FA-4F2C-AB7F-6983AEDEFB34}" keepAlive="1" name="Consulta - Termos_table" description="Conexão com a consulta 'Termos_table' na pasta de trabalho." type="5" refreshedVersion="8" background="1" saveData="1">
    <dbPr connection="Provider=Microsoft.Mashup.OleDb.1;Data Source=$Workbook$;Location=Termos_table;Extended Properties=&quot;&quot;" command="SELECT * FROM [Termos_table]"/>
  </connection>
</connections>
</file>

<file path=xl/sharedStrings.xml><?xml version="1.0" encoding="utf-8"?>
<sst xmlns="http://schemas.openxmlformats.org/spreadsheetml/2006/main" count="44" uniqueCount="20">
  <si>
    <t>Data Final</t>
  </si>
  <si>
    <t>NOME</t>
  </si>
  <si>
    <t>DATA                                            _______/______/________</t>
  </si>
  <si>
    <t>Numero</t>
  </si>
  <si>
    <t>Nome</t>
  </si>
  <si>
    <t>Data Inicio</t>
  </si>
  <si>
    <t>Professor CRMV</t>
  </si>
  <si>
    <t>Curso</t>
  </si>
  <si>
    <t>Auxiliar Veterinário</t>
  </si>
  <si>
    <t xml:space="preserve">         ENTREGA DE CERTIFICADOS</t>
  </si>
  <si>
    <t>CURSO</t>
  </si>
  <si>
    <t>Data Inicial</t>
  </si>
  <si>
    <t>CODIGO</t>
  </si>
  <si>
    <t>;</t>
  </si>
  <si>
    <t xml:space="preserve">        ENTREGA DE TERMOS</t>
  </si>
  <si>
    <t xml:space="preserve">         ENTREGA DE ATIVIDADES</t>
  </si>
  <si>
    <t>Ester Garcia Capanema Matoso - CRMV 14.814</t>
  </si>
  <si>
    <t>Ana Karoline correia</t>
  </si>
  <si>
    <t>José Maurício Alcântara Vasconcelos</t>
  </si>
  <si>
    <t>Lucas Geraldo Gomes Machado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</si>
</sst>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>
      <alignment horizontal="left" vertical="top"/>
    </xf>
    <xf numFmtId="0" fontId="5" fillId="0" borderId="0">
      <alignment horizontal="left" vertical="top"/>
    </xf>
    <xf numFmtId="0" fontId="5" fillId="0" borderId="0">
      <alignment horizontal="left" vertical="top"/>
    </xf>
  </cellStyleXfs>
  <cellXfs count="3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1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1" fillId="0" borderId="0" xfId="0" applyFont="1"/>
    <xf numFmtId="0" fontId="3" fillId="0" borderId="1" xfId="0" applyFont="1" applyBorder="1" applyAlignment="1">
      <alignment horizontal="center"/>
    </xf>
    <xf numFmtId="0" fontId="1" fillId="0" borderId="1" xfId="0" applyFont="1" applyBorder="1"/>
    <xf numFmtId="0" fontId="3" fillId="0" borderId="1" xfId="0" applyFont="1" applyBorder="1"/>
    <xf numFmtId="0" fontId="1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8" fillId="0" borderId="2" xfId="2" quotePrefix="1" applyFont="1" applyBorder="1" applyAlignment="1">
      <alignment horizontal="left" wrapText="1"/>
    </xf>
    <xf numFmtId="0" fontId="8" fillId="0" borderId="0" xfId="3" quotePrefix="1" applyFont="1" applyAlignment="1">
      <alignment vertical="center" wrapText="1"/>
    </xf>
    <xf numFmtId="0" fontId="7" fillId="0" borderId="3" xfId="1" quotePrefix="1" applyFont="1" applyBorder="1" applyAlignment="1">
      <alignment horizontal="center" wrapText="1"/>
    </xf>
    <xf numFmtId="0" fontId="8" fillId="0" borderId="3" xfId="2" quotePrefix="1" applyFont="1" applyBorder="1" applyAlignment="1">
      <alignment horizontal="left" wrapText="1"/>
    </xf>
    <xf numFmtId="0" fontId="8" fillId="0" borderId="2" xfId="1" quotePrefix="1" applyFont="1" applyBorder="1" applyAlignment="1">
      <alignment horizontal="center" wrapText="1"/>
    </xf>
    <xf numFmtId="0" fontId="8" fillId="0" borderId="3" xfId="1" quotePrefix="1" applyFont="1" applyBorder="1" applyAlignment="1">
      <alignment horizontal="center" wrapText="1"/>
    </xf>
    <xf numFmtId="0" fontId="8" fillId="0" borderId="3" xfId="3" quotePrefix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left" wrapText="1"/>
    </xf>
    <xf numFmtId="0" fontId="8" fillId="0" borderId="5" xfId="3" quotePrefix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4">
    <cellStyle name="Normal" xfId="0" builtinId="0"/>
    <cellStyle name="S4" xfId="1" xr:uid="{22393016-5EA2-4C5D-80A6-1ED413F0AD25}"/>
    <cellStyle name="S5" xfId="2" xr:uid="{2C203A5A-D905-4F6C-8CC9-C5BB9BE44CCA}"/>
    <cellStyle name="S7" xfId="3" xr:uid="{50696960-FA25-49E3-8C5F-75021E8CFAB3}"/>
  </cellStyles>
  <dxfs count="6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19050</xdr:rowOff>
    </xdr:from>
    <xdr:to>
      <xdr:col>2</xdr:col>
      <xdr:colOff>1932343</xdr:colOff>
      <xdr:row>4</xdr:row>
      <xdr:rowOff>152400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899B777-8590-4409-ABD0-676C8A824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255146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11</xdr:col>
      <xdr:colOff>0</xdr:colOff>
      <xdr:row>2</xdr:row>
      <xdr:rowOff>180975</xdr:rowOff>
    </xdr:to>
    <xdr:sp macro="[0]!gerarCertifica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5D5ECB-EEFF-2BBA-710D-D2AD2F0A7960}"/>
            </a:ext>
          </a:extLst>
        </xdr:cNvPr>
        <xdr:cNvSpPr/>
      </xdr:nvSpPr>
      <xdr:spPr>
        <a:xfrm>
          <a:off x="7962900" y="190500"/>
          <a:ext cx="1219200" cy="371475"/>
        </a:xfrm>
        <a:prstGeom prst="roundRect">
          <a:avLst/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85000"/>
                </a:schemeClr>
              </a:solidFill>
            </a:rPr>
            <a:t>GERAR</a:t>
          </a:r>
          <a:r>
            <a:rPr lang="pt-BR" sz="1100" b="1" baseline="0">
              <a:solidFill>
                <a:schemeClr val="bg1">
                  <a:lumMod val="85000"/>
                </a:schemeClr>
              </a:solidFill>
            </a:rPr>
            <a:t> LISTA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19050</xdr:rowOff>
    </xdr:from>
    <xdr:to>
      <xdr:col>2</xdr:col>
      <xdr:colOff>1932343</xdr:colOff>
      <xdr:row>4</xdr:row>
      <xdr:rowOff>142875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DE9533B-6C6A-461D-865D-32A06F64E4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2551468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19050</xdr:colOff>
      <xdr:row>1</xdr:row>
      <xdr:rowOff>0</xdr:rowOff>
    </xdr:from>
    <xdr:to>
      <xdr:col>11</xdr:col>
      <xdr:colOff>19050</xdr:colOff>
      <xdr:row>2</xdr:row>
      <xdr:rowOff>180975</xdr:rowOff>
    </xdr:to>
    <xdr:sp macro="[0]!gerarTer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BA3AB52-33F7-496B-9438-ADDB39C031F4}"/>
            </a:ext>
          </a:extLst>
        </xdr:cNvPr>
        <xdr:cNvSpPr/>
      </xdr:nvSpPr>
      <xdr:spPr>
        <a:xfrm>
          <a:off x="7981950" y="190500"/>
          <a:ext cx="1219200" cy="371475"/>
        </a:xfrm>
        <a:prstGeom prst="roundRect">
          <a:avLst/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85000"/>
                </a:schemeClr>
              </a:solidFill>
            </a:rPr>
            <a:t>GERAR</a:t>
          </a:r>
          <a:r>
            <a:rPr lang="pt-BR" sz="1100" b="1" baseline="0">
              <a:solidFill>
                <a:schemeClr val="bg1">
                  <a:lumMod val="85000"/>
                </a:schemeClr>
              </a:solidFill>
            </a:rPr>
            <a:t> LISTA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19050</xdr:rowOff>
    </xdr:from>
    <xdr:to>
      <xdr:col>2</xdr:col>
      <xdr:colOff>1932343</xdr:colOff>
      <xdr:row>4</xdr:row>
      <xdr:rowOff>152400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86B05C1-1CB0-406A-8612-B03394A22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255146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19050</xdr:rowOff>
    </xdr:from>
    <xdr:to>
      <xdr:col>2</xdr:col>
      <xdr:colOff>1932343</xdr:colOff>
      <xdr:row>4</xdr:row>
      <xdr:rowOff>142875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DDD7BBF-6E5D-43D0-A8E9-3A2F864D0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255146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19050</xdr:colOff>
      <xdr:row>0</xdr:row>
      <xdr:rowOff>171450</xdr:rowOff>
    </xdr:from>
    <xdr:to>
      <xdr:col>11</xdr:col>
      <xdr:colOff>19050</xdr:colOff>
      <xdr:row>2</xdr:row>
      <xdr:rowOff>161925</xdr:rowOff>
    </xdr:to>
    <xdr:sp macro="[0]!gerarAtividad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5F33CA6-76C7-4509-8696-853ACE71C16C}"/>
            </a:ext>
          </a:extLst>
        </xdr:cNvPr>
        <xdr:cNvSpPr/>
      </xdr:nvSpPr>
      <xdr:spPr>
        <a:xfrm>
          <a:off x="7981950" y="171450"/>
          <a:ext cx="1219200" cy="371475"/>
        </a:xfrm>
        <a:prstGeom prst="roundRect">
          <a:avLst/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>
                  <a:lumMod val="85000"/>
                </a:schemeClr>
              </a:solidFill>
            </a:rPr>
            <a:t>GERAR</a:t>
          </a:r>
          <a:r>
            <a:rPr lang="pt-BR" sz="1100" b="1" baseline="0">
              <a:solidFill>
                <a:schemeClr val="bg1">
                  <a:lumMod val="85000"/>
                </a:schemeClr>
              </a:solidFill>
            </a:rPr>
            <a:t> LISTA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64F8518E-D63E-4161-9023-6D2F2C223128}" autoFormatId="16" applyNumberFormats="0" applyBorderFormats="0" applyFontFormats="0" applyPatternFormats="0" applyAlignmentFormats="0" applyWidthHeightFormats="0">
  <queryTableRefresh nextId="7">
    <queryTableFields count="4">
      <queryTableField id="5" name="Curso" tableColumnId="4"/>
      <queryTableField id="3" name="Professor CRMV" tableColumnId="3"/>
      <queryTableField id="1" name="Data Inicio" tableColumnId="1"/>
      <queryTableField id="2" name="Data Fina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F194B3C2-2EF7-4483-B4B4-35DFCB70316D}" autoFormatId="16" applyNumberFormats="0" applyBorderFormats="0" applyFontFormats="0" applyPatternFormats="0" applyAlignmentFormats="0" applyWidthHeightFormats="0">
  <queryTableRefresh nextId="7">
    <queryTableFields count="2">
      <queryTableField id="5" name="Numero" tableColumnId="4"/>
      <queryTableField id="6" name="Nom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163DC26B-5010-4CA5-8924-A7D07F415496}" autoFormatId="16" applyNumberFormats="0" applyBorderFormats="0" applyFontFormats="0" applyPatternFormats="0" applyAlignmentFormats="0" applyWidthHeightFormats="0">
  <queryTableRefresh nextId="3">
    <queryTableFields count="2">
      <queryTableField id="1" name="Numero" tableColumnId="1"/>
      <queryTableField id="2" name="No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5C79794-F7AB-4144-B851-15AFA885D064}" autoFormatId="16" applyNumberFormats="0" applyBorderFormats="0" applyFontFormats="0" applyPatternFormats="0" applyAlignmentFormats="0" applyWidthHeightFormats="0">
  <queryTableRefresh nextId="3">
    <queryTableFields count="2">
      <queryTableField id="1" name="Numero" tableColumnId="1"/>
      <queryTableField id="2" name="No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8A585C-9B38-4B72-8BD7-167EBDDDE2D0}" name="Header_table" displayName="Header_table" ref="A1:D4" tableType="queryTable" totalsRowShown="0">
  <autoFilter ref="A1:D4" xr:uid="{B68A585C-9B38-4B72-8BD7-167EBDDDE2D0}"/>
  <tableColumns count="4">
    <tableColumn id="4" xr3:uid="{2A94BE02-8BD7-46EB-82D1-03DABA5EA047}" uniqueName="4" name="Curso" queryTableFieldId="5" dataDxfId="5"/>
    <tableColumn id="3" xr3:uid="{7FAF50A5-E168-4E23-9D08-951FF247EB3B}" uniqueName="3" name="Professor CRMV" queryTableFieldId="3" dataDxfId="4"/>
    <tableColumn id="1" xr3:uid="{6714997F-0224-48EF-8B7D-9448CB7A8B4F}" uniqueName="1" name="Data Inicio" queryTableFieldId="1" dataDxfId="1"/>
    <tableColumn id="2" xr3:uid="{3CF4D35D-CFDE-45B2-B46A-F72442AA1B4F}" uniqueName="2" name="Data Final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A52171-0B0C-4857-B5E9-324DD0693B9B}" name="Certificados_table_2" displayName="Certificados_table_2" ref="A1:B4" tableType="queryTable" totalsRowShown="0">
  <autoFilter ref="A1:B4" xr:uid="{6FA52171-0B0C-4857-B5E9-324DD0693B9B}"/>
  <tableColumns count="2">
    <tableColumn id="4" xr3:uid="{8B80E4F8-3A24-4912-91BF-D6E633044A20}" uniqueName="4" name="Numero" queryTableFieldId="5"/>
    <tableColumn id="5" xr3:uid="{A287BA30-FD9A-491D-ADFD-C4387AACC13A}" uniqueName="5" name="Nome" queryTableFieldId="6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06400A-F965-4EDE-937E-75B28C9DF42D}" name="Termos_table" displayName="Termos_table" ref="A1:B4" tableType="queryTable" totalsRowShown="0">
  <autoFilter ref="A1:B4" xr:uid="{A206400A-F965-4EDE-937E-75B28C9DF42D}"/>
  <tableColumns count="2">
    <tableColumn id="1" xr3:uid="{54BFAFFC-2599-4C65-9D92-4A7A4ADE8644}" uniqueName="1" name="Numero" queryTableFieldId="1"/>
    <tableColumn id="2" xr3:uid="{CACE36C7-1735-47BB-8E0F-3AB9B68487C0}" uniqueName="2" name="Nome" queryTableFieldId="2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E76D24-A982-4471-A070-5526905765A2}" name="Atividade_table" displayName="Atividade_table" ref="A1:B2" tableType="queryTable" insertRow="1" totalsRowShown="0">
  <autoFilter ref="A1:B2" xr:uid="{48E76D24-A982-4471-A070-5526905765A2}"/>
  <tableColumns count="2">
    <tableColumn id="1" xr3:uid="{7D675470-417D-4A7F-8726-0D15410A08AE}" uniqueName="1" name="Numero" queryTableFieldId="1"/>
    <tableColumn id="2" xr3:uid="{5129EFD0-5F20-4850-AFBC-D49B74274CA1}" uniqueName="2" name="Nom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D9A39-9256-4B00-84BF-B8D502DC3E50}">
  <sheetPr codeName="Planilha1"/>
  <dimension ref="A1:D4"/>
  <sheetViews>
    <sheetView workbookViewId="0">
      <selection activeCell="C16" sqref="C16"/>
    </sheetView>
  </sheetViews>
  <sheetFormatPr defaultRowHeight="15" x14ac:dyDescent="0.25"/>
  <cols>
    <col min="1" max="1" width="18.7109375" bestFit="1" customWidth="1"/>
    <col min="2" max="2" width="41.85546875" bestFit="1" customWidth="1"/>
    <col min="3" max="3" width="12.5703125" bestFit="1" customWidth="1"/>
    <col min="4" max="4" width="12" customWidth="1"/>
  </cols>
  <sheetData>
    <row r="1" spans="1:4" x14ac:dyDescent="0.25">
      <c r="A1" t="s">
        <v>7</v>
      </c>
      <c r="B1" t="s">
        <v>6</v>
      </c>
      <c r="C1" t="s">
        <v>5</v>
      </c>
      <c r="D1" t="s">
        <v>0</v>
      </c>
    </row>
    <row r="2" spans="1:4" x14ac:dyDescent="0.25">
      <c r="A2" t="s">
        <v>8</v>
      </c>
      <c r="B2" t="s">
        <v>16</v>
      </c>
      <c r="C2" s="3">
        <v>44877</v>
      </c>
      <c r="D2" s="3">
        <v>45059</v>
      </c>
    </row>
    <row r="3" spans="1:4" x14ac:dyDescent="0.25">
      <c r="A3" t="s">
        <v>8</v>
      </c>
      <c r="B3" t="s">
        <v>16</v>
      </c>
      <c r="C3" s="3">
        <v>44877</v>
      </c>
      <c r="D3" s="3">
        <v>45059</v>
      </c>
    </row>
    <row r="4" spans="1:4" x14ac:dyDescent="0.25">
      <c r="A4" t="s">
        <v>8</v>
      </c>
      <c r="B4" t="s">
        <v>16</v>
      </c>
      <c r="C4" s="3">
        <v>44877</v>
      </c>
      <c r="D4" s="3">
        <v>45059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048B7-7F3B-4C65-9080-1D42733358C7}">
  <sheetPr codeName="Planilha2"/>
  <dimension ref="A1:C14"/>
  <sheetViews>
    <sheetView workbookViewId="0"/>
  </sheetViews>
  <sheetFormatPr defaultRowHeight="15" x14ac:dyDescent="0.25"/>
  <cols>
    <col min="1" max="1" width="10.5703125" bestFit="1" customWidth="1"/>
    <col min="2" max="2" width="33.5703125" bestFit="1" customWidth="1"/>
    <col min="3" max="3" width="9" style="1" bestFit="1" customWidth="1"/>
    <col min="4" max="4" width="34.7109375" customWidth="1"/>
  </cols>
  <sheetData>
    <row r="1" spans="1:3" x14ac:dyDescent="0.25">
      <c r="A1" t="s">
        <v>3</v>
      </c>
      <c r="B1" t="s">
        <v>4</v>
      </c>
      <c r="C1"/>
    </row>
    <row r="2" spans="1:3" x14ac:dyDescent="0.25">
      <c r="A2">
        <v>1</v>
      </c>
      <c r="B2" t="s">
        <v>17</v>
      </c>
      <c r="C2"/>
    </row>
    <row r="3" spans="1:3" x14ac:dyDescent="0.25">
      <c r="A3">
        <v>2</v>
      </c>
      <c r="B3" t="s">
        <v>18</v>
      </c>
      <c r="C3"/>
    </row>
    <row r="4" spans="1:3" x14ac:dyDescent="0.25">
      <c r="A4">
        <v>3</v>
      </c>
      <c r="B4" t="s">
        <v>19</v>
      </c>
      <c r="C4"/>
    </row>
    <row r="5" spans="1:3" x14ac:dyDescent="0.25">
      <c r="C5"/>
    </row>
    <row r="6" spans="1:3" x14ac:dyDescent="0.25">
      <c r="C6"/>
    </row>
    <row r="7" spans="1:3" x14ac:dyDescent="0.25">
      <c r="C7"/>
    </row>
    <row r="8" spans="1:3" x14ac:dyDescent="0.25">
      <c r="C8"/>
    </row>
    <row r="9" spans="1:3" x14ac:dyDescent="0.25">
      <c r="C9"/>
    </row>
    <row r="10" spans="1:3" x14ac:dyDescent="0.25">
      <c r="C10"/>
    </row>
    <row r="11" spans="1:3" x14ac:dyDescent="0.25">
      <c r="C11"/>
    </row>
    <row r="12" spans="1:3" x14ac:dyDescent="0.25">
      <c r="C12"/>
    </row>
    <row r="13" spans="1:3" x14ac:dyDescent="0.25">
      <c r="C13"/>
    </row>
    <row r="14" spans="1:3" x14ac:dyDescent="0.25">
      <c r="C1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3E89-406E-4383-B7A4-7757B773416E}">
  <sheetPr codeName="Planilha3"/>
  <dimension ref="A1:B4"/>
  <sheetViews>
    <sheetView workbookViewId="0">
      <selection activeCell="I7" sqref="I7"/>
    </sheetView>
  </sheetViews>
  <sheetFormatPr defaultRowHeight="15" x14ac:dyDescent="0.25"/>
  <cols>
    <col min="1" max="1" width="10.5703125" bestFit="1" customWidth="1"/>
    <col min="2" max="2" width="33.5703125" bestFit="1" customWidth="1"/>
  </cols>
  <sheetData>
    <row r="1" spans="1:2" x14ac:dyDescent="0.25">
      <c r="A1" t="s">
        <v>3</v>
      </c>
      <c r="B1" t="s">
        <v>4</v>
      </c>
    </row>
    <row r="2" spans="1:2" x14ac:dyDescent="0.25">
      <c r="A2">
        <v>1</v>
      </c>
      <c r="B2" t="s">
        <v>17</v>
      </c>
    </row>
    <row r="3" spans="1:2" x14ac:dyDescent="0.25">
      <c r="A3">
        <v>2</v>
      </c>
      <c r="B3" t="s">
        <v>18</v>
      </c>
    </row>
    <row r="4" spans="1:2" x14ac:dyDescent="0.25">
      <c r="A4">
        <v>3</v>
      </c>
      <c r="B4" t="s">
        <v>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996E5-D5C7-4C05-9DC8-5A8CD48625E3}">
  <sheetPr codeName="Planilha4"/>
  <dimension ref="A1:B1"/>
  <sheetViews>
    <sheetView workbookViewId="0">
      <selection activeCell="G11" sqref="G11"/>
    </sheetView>
  </sheetViews>
  <sheetFormatPr defaultRowHeight="15" x14ac:dyDescent="0.25"/>
  <cols>
    <col min="1" max="1" width="10.5703125" bestFit="1" customWidth="1"/>
    <col min="2" max="2" width="8.7109375" bestFit="1" customWidth="1"/>
  </cols>
  <sheetData>
    <row r="1" spans="1:2" x14ac:dyDescent="0.25">
      <c r="A1" t="s">
        <v>3</v>
      </c>
      <c r="B1" t="s">
        <v>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78639-92CD-4415-AF74-E1A686EB4675}">
  <sheetPr codeName="Planilha5">
    <pageSetUpPr fitToPage="1"/>
  </sheetPr>
  <dimension ref="A1:T45"/>
  <sheetViews>
    <sheetView tabSelected="1" zoomScaleNormal="100" workbookViewId="0">
      <selection activeCell="J11" sqref="J11"/>
    </sheetView>
  </sheetViews>
  <sheetFormatPr defaultRowHeight="15" x14ac:dyDescent="0.25"/>
  <cols>
    <col min="2" max="2" width="0.85546875" customWidth="1"/>
    <col min="3" max="3" width="50.85546875" bestFit="1" customWidth="1"/>
    <col min="4" max="4" width="0.85546875" customWidth="1"/>
    <col min="5" max="6" width="12.140625" customWidth="1"/>
    <col min="7" max="7" width="12.140625" bestFit="1" customWidth="1"/>
    <col min="8" max="8" width="12.140625" customWidth="1"/>
  </cols>
  <sheetData>
    <row r="1" spans="1:20" ht="15" customHeight="1" x14ac:dyDescent="0.25">
      <c r="A1" s="12"/>
      <c r="B1" s="13"/>
      <c r="C1" s="13"/>
      <c r="D1" s="13"/>
    </row>
    <row r="2" spans="1:20" ht="15" customHeight="1" x14ac:dyDescent="0.25">
      <c r="A2" s="12"/>
      <c r="B2" s="13"/>
      <c r="C2" s="21" t="s">
        <v>9</v>
      </c>
      <c r="D2" s="21"/>
      <c r="E2" s="21"/>
      <c r="F2" s="21"/>
      <c r="G2" s="21"/>
      <c r="H2" s="21"/>
    </row>
    <row r="3" spans="1:20" ht="15" customHeight="1" x14ac:dyDescent="0.25">
      <c r="A3" s="12"/>
      <c r="B3" s="13"/>
      <c r="C3" s="21"/>
      <c r="D3" s="21"/>
      <c r="E3" s="21"/>
      <c r="F3" s="21"/>
      <c r="G3" s="21"/>
      <c r="H3" s="21"/>
    </row>
    <row r="4" spans="1:20" ht="15" customHeight="1" x14ac:dyDescent="0.25">
      <c r="A4" s="12"/>
      <c r="B4" s="13"/>
      <c r="C4" s="5"/>
      <c r="D4" s="4"/>
      <c r="E4" s="25" t="s">
        <v>11</v>
      </c>
      <c r="F4" s="26" t="e">
        <f>Header!#REF!</f>
        <v>#REF!</v>
      </c>
      <c r="G4" s="27" t="s">
        <v>0</v>
      </c>
      <c r="H4" s="26" t="e">
        <f>Header!#REF!</f>
        <v>#REF!</v>
      </c>
    </row>
    <row r="5" spans="1:20" ht="15" customHeight="1" x14ac:dyDescent="0.25">
      <c r="A5" s="1"/>
      <c r="C5" s="5"/>
      <c r="D5" s="4"/>
      <c r="E5" s="25"/>
      <c r="F5" s="26"/>
      <c r="G5" s="27"/>
      <c r="H5" s="26"/>
    </row>
    <row r="6" spans="1:20" ht="15" customHeight="1" thickBot="1" x14ac:dyDescent="0.3">
      <c r="A6" s="1" t="s">
        <v>10</v>
      </c>
      <c r="C6" s="11" t="e">
        <f>UPPER(Header!#REF!)</f>
        <v>#REF!</v>
      </c>
      <c r="D6" s="7"/>
      <c r="E6" s="24" t="e">
        <f>("PROF: ")&amp; Header!#REF!</f>
        <v>#REF!</v>
      </c>
      <c r="F6" s="24"/>
      <c r="G6" s="24"/>
      <c r="H6" s="24"/>
    </row>
    <row r="7" spans="1:20" s="2" customFormat="1" ht="18" customHeight="1" thickBot="1" x14ac:dyDescent="0.3">
      <c r="A7" s="8" t="s">
        <v>12</v>
      </c>
      <c r="B7" s="9"/>
      <c r="C7" s="10" t="s">
        <v>1</v>
      </c>
      <c r="E7" s="22" t="s">
        <v>2</v>
      </c>
      <c r="F7" s="22"/>
      <c r="G7" s="22"/>
      <c r="H7" s="22"/>
    </row>
    <row r="8" spans="1:20" ht="20.100000000000001" customHeight="1" x14ac:dyDescent="0.25">
      <c r="A8" s="18" t="e">
        <f>UPPER(Certificados_table!#REF!)</f>
        <v>#REF!</v>
      </c>
      <c r="B8" s="4"/>
      <c r="C8" s="14" t="e">
        <f>UPPER(Certificados_table!#REF!)</f>
        <v>#REF!</v>
      </c>
      <c r="D8" s="15"/>
      <c r="E8" s="23"/>
      <c r="F8" s="23"/>
      <c r="G8" s="23"/>
      <c r="H8" s="23"/>
    </row>
    <row r="9" spans="1:20" ht="20.100000000000001" customHeight="1" x14ac:dyDescent="0.25">
      <c r="A9" s="19" t="e">
        <f>UPPER(Certificados_table!#REF!)</f>
        <v>#REF!</v>
      </c>
      <c r="B9" s="4"/>
      <c r="C9" s="17" t="e">
        <f>UPPER(Certificados_table!#REF!)</f>
        <v>#REF!</v>
      </c>
      <c r="D9" s="15"/>
      <c r="E9" s="20"/>
      <c r="F9" s="20"/>
      <c r="G9" s="20"/>
      <c r="H9" s="20"/>
    </row>
    <row r="10" spans="1:20" ht="20.100000000000001" customHeight="1" x14ac:dyDescent="0.25">
      <c r="A10" s="19" t="e">
        <f>UPPER(Certificados_table!#REF!)</f>
        <v>#REF!</v>
      </c>
      <c r="B10" s="4"/>
      <c r="C10" s="17" t="e">
        <f>UPPER(Certificados_table!#REF!)</f>
        <v>#REF!</v>
      </c>
      <c r="D10" s="15"/>
      <c r="E10" s="20"/>
      <c r="F10" s="20"/>
      <c r="G10" s="20"/>
      <c r="H10" s="20"/>
      <c r="T10" t="s">
        <v>13</v>
      </c>
    </row>
    <row r="11" spans="1:20" ht="20.100000000000001" customHeight="1" x14ac:dyDescent="0.25">
      <c r="A11" s="19" t="e">
        <f>UPPER(Certificados_table!#REF!)</f>
        <v>#REF!</v>
      </c>
      <c r="B11" s="4"/>
      <c r="C11" s="17" t="e">
        <f>UPPER(Certificados_table!#REF!)</f>
        <v>#REF!</v>
      </c>
      <c r="D11" s="15"/>
      <c r="E11" s="20"/>
      <c r="F11" s="20"/>
      <c r="G11" s="20"/>
      <c r="H11" s="20"/>
    </row>
    <row r="12" spans="1:20" ht="20.100000000000001" customHeight="1" x14ac:dyDescent="0.25">
      <c r="A12" s="19" t="e">
        <f>UPPER(Certificados_table!#REF!)</f>
        <v>#REF!</v>
      </c>
      <c r="B12" s="4"/>
      <c r="C12" s="17" t="e">
        <f>UPPER(Certificados_table!#REF!)</f>
        <v>#REF!</v>
      </c>
      <c r="D12" s="15"/>
      <c r="E12" s="20"/>
      <c r="F12" s="20"/>
      <c r="G12" s="20"/>
      <c r="H12" s="20"/>
    </row>
    <row r="13" spans="1:20" ht="20.100000000000001" customHeight="1" x14ac:dyDescent="0.25">
      <c r="A13" s="19" t="e">
        <f>UPPER(Certificados_table!#REF!)</f>
        <v>#REF!</v>
      </c>
      <c r="B13" s="4"/>
      <c r="C13" s="17" t="e">
        <f>UPPER(Certificados_table!#REF!)</f>
        <v>#REF!</v>
      </c>
      <c r="D13" s="15"/>
      <c r="E13" s="20"/>
      <c r="F13" s="20"/>
      <c r="G13" s="20"/>
      <c r="H13" s="20"/>
    </row>
    <row r="14" spans="1:20" ht="20.100000000000001" customHeight="1" x14ac:dyDescent="0.25">
      <c r="A14" s="19" t="e">
        <f>UPPER(Certificados_table!#REF!)</f>
        <v>#REF!</v>
      </c>
      <c r="B14" s="4"/>
      <c r="C14" s="17" t="e">
        <f>UPPER(Certificados_table!#REF!)</f>
        <v>#REF!</v>
      </c>
      <c r="D14" s="15"/>
      <c r="E14" s="20"/>
      <c r="F14" s="20"/>
      <c r="G14" s="20"/>
      <c r="H14" s="20"/>
    </row>
    <row r="15" spans="1:20" ht="20.100000000000001" customHeight="1" x14ac:dyDescent="0.25">
      <c r="A15" s="19" t="e">
        <f>UPPER(Certificados_table!#REF!)</f>
        <v>#REF!</v>
      </c>
      <c r="B15" s="4"/>
      <c r="C15" s="17" t="e">
        <f>UPPER(Certificados_table!#REF!)</f>
        <v>#REF!</v>
      </c>
      <c r="D15" s="15"/>
      <c r="E15" s="20"/>
      <c r="F15" s="20"/>
      <c r="G15" s="20"/>
      <c r="H15" s="20"/>
    </row>
    <row r="16" spans="1:20" ht="20.100000000000001" customHeight="1" x14ac:dyDescent="0.25">
      <c r="A16" s="19" t="e">
        <f>UPPER(Certificados_table!#REF!)</f>
        <v>#REF!</v>
      </c>
      <c r="B16" s="4"/>
      <c r="C16" s="17" t="e">
        <f>UPPER(Certificados_table!#REF!)</f>
        <v>#REF!</v>
      </c>
      <c r="D16" s="15"/>
      <c r="E16" s="20"/>
      <c r="F16" s="20"/>
      <c r="G16" s="20"/>
      <c r="H16" s="20"/>
    </row>
    <row r="17" spans="1:8" ht="20.100000000000001" customHeight="1" x14ac:dyDescent="0.25">
      <c r="A17" s="19" t="e">
        <f>UPPER(Certificados_table!#REF!)</f>
        <v>#REF!</v>
      </c>
      <c r="B17" s="4"/>
      <c r="C17" s="17" t="e">
        <f>UPPER(Certificados_table!#REF!)</f>
        <v>#REF!</v>
      </c>
      <c r="D17" s="15"/>
      <c r="E17" s="20"/>
      <c r="F17" s="20"/>
      <c r="G17" s="20"/>
      <c r="H17" s="20"/>
    </row>
    <row r="18" spans="1:8" ht="20.100000000000001" customHeight="1" x14ac:dyDescent="0.25">
      <c r="A18" s="19" t="e">
        <f>UPPER(Certificados_table!#REF!)</f>
        <v>#REF!</v>
      </c>
      <c r="B18" s="4"/>
      <c r="C18" s="17" t="e">
        <f>UPPER(Certificados_table!#REF!)</f>
        <v>#REF!</v>
      </c>
      <c r="D18" s="15"/>
      <c r="E18" s="20"/>
      <c r="F18" s="20"/>
      <c r="G18" s="20"/>
      <c r="H18" s="20"/>
    </row>
    <row r="19" spans="1:8" ht="20.100000000000001" customHeight="1" x14ac:dyDescent="0.25">
      <c r="A19" s="19" t="e">
        <f>UPPER(Certificados_table!#REF!)</f>
        <v>#REF!</v>
      </c>
      <c r="B19" s="4"/>
      <c r="C19" s="17" t="e">
        <f>UPPER(Certificados_table!#REF!)</f>
        <v>#REF!</v>
      </c>
      <c r="D19" s="15"/>
      <c r="E19" s="20"/>
      <c r="F19" s="20"/>
      <c r="G19" s="20"/>
      <c r="H19" s="20"/>
    </row>
    <row r="20" spans="1:8" ht="20.100000000000001" customHeight="1" x14ac:dyDescent="0.25">
      <c r="A20" s="19" t="str">
        <f>UPPER(Certificados_table!A4)</f>
        <v>3</v>
      </c>
      <c r="B20" s="4"/>
      <c r="C20" s="17" t="str">
        <f>UPPER(Certificados_table!B4)</f>
        <v>LUCAS GERALDO GOMES MACHADO</v>
      </c>
      <c r="D20" s="15"/>
      <c r="E20" s="20"/>
      <c r="F20" s="20"/>
      <c r="G20" s="20"/>
      <c r="H20" s="20"/>
    </row>
    <row r="21" spans="1:8" ht="20.100000000000001" customHeight="1" x14ac:dyDescent="0.25">
      <c r="A21" s="19" t="str">
        <f>UPPER(Certificados_table!A5)</f>
        <v/>
      </c>
      <c r="B21" s="4"/>
      <c r="C21" s="17" t="str">
        <f>UPPER(Certificados_table!B5)</f>
        <v/>
      </c>
      <c r="D21" s="15"/>
      <c r="E21" s="20"/>
      <c r="F21" s="20"/>
      <c r="G21" s="20"/>
      <c r="H21" s="20"/>
    </row>
    <row r="22" spans="1:8" ht="20.100000000000001" customHeight="1" x14ac:dyDescent="0.25">
      <c r="A22" s="19" t="str">
        <f>UPPER(Certificados_table!A6)</f>
        <v/>
      </c>
      <c r="B22" s="4"/>
      <c r="C22" s="17" t="str">
        <f>UPPER(Certificados_table!B6)</f>
        <v/>
      </c>
      <c r="D22" s="15"/>
      <c r="E22" s="20"/>
      <c r="F22" s="20"/>
      <c r="G22" s="20"/>
      <c r="H22" s="20"/>
    </row>
    <row r="23" spans="1:8" ht="20.100000000000001" customHeight="1" x14ac:dyDescent="0.25">
      <c r="A23" s="19" t="str">
        <f>UPPER(Certificados_table!A7)</f>
        <v/>
      </c>
      <c r="B23" s="4"/>
      <c r="C23" s="17" t="str">
        <f>UPPER(Certificados_table!B7)</f>
        <v/>
      </c>
      <c r="D23" s="15"/>
      <c r="E23" s="20"/>
      <c r="F23" s="20"/>
      <c r="G23" s="20"/>
      <c r="H23" s="20"/>
    </row>
    <row r="24" spans="1:8" ht="20.100000000000001" customHeight="1" x14ac:dyDescent="0.25">
      <c r="A24" s="19" t="str">
        <f>UPPER(Certificados_table!A8)</f>
        <v/>
      </c>
      <c r="B24" s="4"/>
      <c r="C24" s="17" t="str">
        <f>UPPER(Certificados_table!B8)</f>
        <v/>
      </c>
      <c r="D24" s="15"/>
      <c r="E24" s="20"/>
      <c r="F24" s="20"/>
      <c r="G24" s="20"/>
      <c r="H24" s="20"/>
    </row>
    <row r="25" spans="1:8" ht="20.100000000000001" customHeight="1" x14ac:dyDescent="0.25">
      <c r="A25" s="19" t="str">
        <f>UPPER(Certificados_table!A9)</f>
        <v/>
      </c>
      <c r="B25" s="4"/>
      <c r="C25" s="17" t="str">
        <f>UPPER(Certificados_table!B9)</f>
        <v/>
      </c>
      <c r="D25" s="15"/>
      <c r="E25" s="20"/>
      <c r="F25" s="20"/>
      <c r="G25" s="20"/>
      <c r="H25" s="20"/>
    </row>
    <row r="26" spans="1:8" ht="20.100000000000001" customHeight="1" x14ac:dyDescent="0.25">
      <c r="A26" s="19" t="str">
        <f>UPPER(Certificados_table!A10)</f>
        <v/>
      </c>
      <c r="B26" s="4"/>
      <c r="C26" s="17" t="str">
        <f>UPPER(Certificados_table!B10)</f>
        <v/>
      </c>
      <c r="D26" s="15"/>
      <c r="E26" s="20"/>
      <c r="F26" s="20"/>
      <c r="G26" s="20"/>
      <c r="H26" s="20"/>
    </row>
    <row r="27" spans="1:8" ht="20.100000000000001" customHeight="1" x14ac:dyDescent="0.25">
      <c r="A27" s="19" t="str">
        <f>UPPER(Certificados_table!A11)</f>
        <v/>
      </c>
      <c r="B27" s="4"/>
      <c r="C27" s="17" t="str">
        <f>UPPER(Certificados_table!B11)</f>
        <v/>
      </c>
      <c r="D27" s="15"/>
      <c r="E27" s="20"/>
      <c r="F27" s="20"/>
      <c r="G27" s="20"/>
      <c r="H27" s="20"/>
    </row>
    <row r="28" spans="1:8" ht="20.100000000000001" customHeight="1" x14ac:dyDescent="0.25">
      <c r="A28" s="19" t="str">
        <f>UPPER(Certificados_table!A12)</f>
        <v/>
      </c>
      <c r="B28" s="4"/>
      <c r="C28" s="17" t="str">
        <f>UPPER(Certificados_table!B12)</f>
        <v/>
      </c>
      <c r="D28" s="4"/>
      <c r="E28" s="20"/>
      <c r="F28" s="20"/>
      <c r="G28" s="20"/>
      <c r="H28" s="20"/>
    </row>
    <row r="29" spans="1:8" ht="20.100000000000001" customHeight="1" x14ac:dyDescent="0.25">
      <c r="A29" s="19" t="str">
        <f>UPPER(Certificados_table!A13)</f>
        <v/>
      </c>
      <c r="B29" s="4"/>
      <c r="C29" s="17" t="str">
        <f>UPPER(Certificados_table!B13)</f>
        <v/>
      </c>
      <c r="D29" s="4"/>
      <c r="E29" s="20"/>
      <c r="F29" s="20"/>
      <c r="G29" s="20"/>
      <c r="H29" s="20"/>
    </row>
    <row r="30" spans="1:8" ht="20.100000000000001" customHeight="1" x14ac:dyDescent="0.25">
      <c r="A30" s="19" t="str">
        <f>UPPER(Certificados_table!A14)</f>
        <v/>
      </c>
      <c r="B30" s="4"/>
      <c r="C30" s="17" t="str">
        <f>UPPER(Certificados_table!B14)</f>
        <v/>
      </c>
      <c r="D30" s="4"/>
      <c r="E30" s="20"/>
      <c r="F30" s="20"/>
      <c r="G30" s="20"/>
      <c r="H30" s="20"/>
    </row>
    <row r="31" spans="1:8" ht="20.100000000000001" customHeight="1" x14ac:dyDescent="0.25">
      <c r="A31" s="19" t="str">
        <f>UPPER(Certificados_table!A15)</f>
        <v/>
      </c>
      <c r="B31" s="4"/>
      <c r="C31" s="17" t="str">
        <f>UPPER(Certificados_table!B15)</f>
        <v/>
      </c>
      <c r="D31" s="4"/>
      <c r="E31" s="20"/>
      <c r="F31" s="20"/>
      <c r="G31" s="20"/>
      <c r="H31" s="20"/>
    </row>
    <row r="32" spans="1:8" ht="20.100000000000001" customHeight="1" x14ac:dyDescent="0.25">
      <c r="A32" s="19" t="str">
        <f>UPPER(Certificados_table!A16)</f>
        <v/>
      </c>
      <c r="B32" s="4"/>
      <c r="C32" s="17" t="str">
        <f>UPPER(Certificados_table!B16)</f>
        <v/>
      </c>
      <c r="D32" s="4"/>
      <c r="E32" s="20"/>
      <c r="F32" s="20"/>
      <c r="G32" s="20"/>
      <c r="H32" s="20"/>
    </row>
    <row r="33" spans="1:8" ht="20.100000000000001" customHeight="1" x14ac:dyDescent="0.25">
      <c r="A33" s="19" t="str">
        <f>UPPER(Certificados_table!A17)</f>
        <v/>
      </c>
      <c r="B33" s="4"/>
      <c r="C33" s="17" t="str">
        <f>UPPER(Certificados_table!B17)</f>
        <v/>
      </c>
      <c r="D33" s="4"/>
      <c r="E33" s="20"/>
      <c r="F33" s="20"/>
      <c r="G33" s="20"/>
      <c r="H33" s="20"/>
    </row>
    <row r="34" spans="1:8" ht="20.100000000000001" customHeight="1" x14ac:dyDescent="0.25">
      <c r="A34" s="19" t="str">
        <f>UPPER(Certificados_table!A18)</f>
        <v/>
      </c>
      <c r="B34" s="4"/>
      <c r="C34" s="17" t="str">
        <f>UPPER(Certificados_table!B18)</f>
        <v/>
      </c>
      <c r="D34" s="4"/>
      <c r="E34" s="20"/>
      <c r="F34" s="20"/>
      <c r="G34" s="20"/>
      <c r="H34" s="20"/>
    </row>
    <row r="35" spans="1:8" ht="20.100000000000001" customHeight="1" x14ac:dyDescent="0.25">
      <c r="A35" s="19" t="str">
        <f>UPPER(Certificados_table!A19)</f>
        <v/>
      </c>
      <c r="B35" s="4"/>
      <c r="C35" s="17" t="str">
        <f>UPPER(Certificados_table!B19)</f>
        <v/>
      </c>
      <c r="D35" s="4"/>
      <c r="E35" s="20"/>
      <c r="F35" s="20"/>
      <c r="G35" s="20"/>
      <c r="H35" s="20"/>
    </row>
    <row r="36" spans="1:8" ht="20.100000000000001" customHeight="1" x14ac:dyDescent="0.25">
      <c r="A36" s="19" t="str">
        <f>UPPER(Certificados_table!A20)</f>
        <v/>
      </c>
      <c r="B36" s="4"/>
      <c r="C36" s="17" t="str">
        <f>UPPER(Certificados_table!B20)</f>
        <v/>
      </c>
      <c r="D36" s="4"/>
      <c r="E36" s="20"/>
      <c r="F36" s="20"/>
      <c r="G36" s="20"/>
      <c r="H36" s="20"/>
    </row>
    <row r="37" spans="1:8" ht="20.100000000000001" customHeight="1" x14ac:dyDescent="0.25">
      <c r="A37" s="19" t="str">
        <f>UPPER(Certificados_table!A21)</f>
        <v/>
      </c>
      <c r="B37" s="4"/>
      <c r="C37" s="17" t="str">
        <f>UPPER(Certificados_table!B21)</f>
        <v/>
      </c>
      <c r="D37" s="4"/>
      <c r="E37" s="20"/>
      <c r="F37" s="20"/>
      <c r="G37" s="20"/>
      <c r="H37" s="20"/>
    </row>
    <row r="38" spans="1:8" ht="20.100000000000001" customHeight="1" x14ac:dyDescent="0.25">
      <c r="A38" s="19" t="str">
        <f>UPPER(Certificados_table!A22)</f>
        <v/>
      </c>
      <c r="B38" s="4"/>
      <c r="C38" s="17" t="str">
        <f>UPPER(Certificados_table!B22)</f>
        <v/>
      </c>
      <c r="D38" s="4"/>
      <c r="E38" s="20"/>
      <c r="F38" s="20"/>
      <c r="G38" s="20"/>
      <c r="H38" s="20"/>
    </row>
    <row r="39" spans="1:8" ht="20.100000000000001" customHeight="1" x14ac:dyDescent="0.25">
      <c r="A39" s="19" t="str">
        <f>UPPER(Certificados_table!A23)</f>
        <v/>
      </c>
      <c r="B39" s="4"/>
      <c r="C39" s="17" t="str">
        <f>UPPER(Certificados_table!B23)</f>
        <v/>
      </c>
      <c r="D39" s="4"/>
      <c r="E39" s="20"/>
      <c r="F39" s="20"/>
      <c r="G39" s="20"/>
      <c r="H39" s="20"/>
    </row>
    <row r="40" spans="1:8" ht="20.100000000000001" customHeight="1" x14ac:dyDescent="0.25">
      <c r="A40" s="19" t="str">
        <f>UPPER(Certificados_table!A24)</f>
        <v/>
      </c>
      <c r="B40" s="4"/>
      <c r="C40" s="17" t="str">
        <f>UPPER(Certificados_table!B24)</f>
        <v/>
      </c>
      <c r="D40" s="4"/>
      <c r="E40" s="20"/>
      <c r="F40" s="20"/>
      <c r="G40" s="20"/>
      <c r="H40" s="20"/>
    </row>
    <row r="41" spans="1:8" ht="20.100000000000001" customHeight="1" x14ac:dyDescent="0.25">
      <c r="A41" s="19" t="str">
        <f>UPPER(Certificados_table!A25)</f>
        <v/>
      </c>
      <c r="B41" s="4"/>
      <c r="C41" s="17" t="str">
        <f>UPPER(Certificados_table!B25)</f>
        <v/>
      </c>
      <c r="D41" s="4"/>
      <c r="E41" s="20"/>
      <c r="F41" s="20"/>
      <c r="G41" s="20"/>
      <c r="H41" s="20"/>
    </row>
    <row r="42" spans="1:8" ht="20.100000000000001" customHeight="1" x14ac:dyDescent="0.25">
      <c r="A42" s="16"/>
      <c r="B42" s="4"/>
      <c r="C42" s="17"/>
      <c r="D42" s="4"/>
      <c r="E42" s="20"/>
      <c r="F42" s="20"/>
      <c r="G42" s="20"/>
      <c r="H42" s="20"/>
    </row>
    <row r="43" spans="1:8" ht="30" customHeight="1" x14ac:dyDescent="0.25"/>
    <row r="44" spans="1:8" ht="30" customHeight="1" x14ac:dyDescent="0.25"/>
    <row r="45" spans="1:8" ht="30" customHeight="1" x14ac:dyDescent="0.25"/>
  </sheetData>
  <mergeCells count="42">
    <mergeCell ref="C2:H3"/>
    <mergeCell ref="E16:H1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6:H6"/>
    <mergeCell ref="E4:E5"/>
    <mergeCell ref="F4:F5"/>
    <mergeCell ref="G4:G5"/>
    <mergeCell ref="H4:H5"/>
    <mergeCell ref="E28:H28"/>
    <mergeCell ref="E17:H17"/>
    <mergeCell ref="E18:H18"/>
    <mergeCell ref="E19:H19"/>
    <mergeCell ref="E20:H20"/>
    <mergeCell ref="E21:H21"/>
    <mergeCell ref="E22:H22"/>
    <mergeCell ref="E23:H23"/>
    <mergeCell ref="E24:H24"/>
    <mergeCell ref="E25:H25"/>
    <mergeCell ref="E26:H26"/>
    <mergeCell ref="E27:H27"/>
    <mergeCell ref="E41:H41"/>
    <mergeCell ref="E42:H42"/>
    <mergeCell ref="E40:H40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</mergeCells>
  <pageMargins left="0.7" right="0.7" top="0.75" bottom="0.75" header="0.3" footer="0.3"/>
  <pageSetup paperSize="9" scale="40" fitToHeight="0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46D0D-A7BB-4A39-BB0B-3838DCB00FF6}">
  <sheetPr codeName="Planilha6">
    <pageSetUpPr fitToPage="1"/>
  </sheetPr>
  <dimension ref="A1:I42"/>
  <sheetViews>
    <sheetView workbookViewId="0">
      <selection activeCell="L4" sqref="L4"/>
    </sheetView>
  </sheetViews>
  <sheetFormatPr defaultRowHeight="15" x14ac:dyDescent="0.25"/>
  <cols>
    <col min="2" max="2" width="0.85546875" customWidth="1"/>
    <col min="3" max="3" width="50.85546875" bestFit="1" customWidth="1"/>
    <col min="4" max="4" width="0.85546875" customWidth="1"/>
    <col min="5" max="6" width="12.140625" customWidth="1"/>
    <col min="7" max="8" width="12.140625" bestFit="1" customWidth="1"/>
  </cols>
  <sheetData>
    <row r="1" spans="1:9" ht="15" customHeight="1" x14ac:dyDescent="0.25">
      <c r="A1" s="12"/>
      <c r="B1" s="13"/>
      <c r="C1" s="13"/>
      <c r="D1" s="13"/>
    </row>
    <row r="2" spans="1:9" ht="15" customHeight="1" x14ac:dyDescent="0.25">
      <c r="A2" s="12"/>
      <c r="B2" s="13"/>
      <c r="C2" s="21" t="s">
        <v>14</v>
      </c>
      <c r="D2" s="21"/>
      <c r="E2" s="21"/>
      <c r="F2" s="21"/>
      <c r="G2" s="21"/>
      <c r="H2" s="21"/>
      <c r="I2" s="6"/>
    </row>
    <row r="3" spans="1:9" ht="15" customHeight="1" x14ac:dyDescent="0.25">
      <c r="A3" s="12"/>
      <c r="B3" s="13"/>
      <c r="C3" s="21"/>
      <c r="D3" s="21"/>
      <c r="E3" s="21"/>
      <c r="F3" s="21"/>
      <c r="G3" s="21"/>
      <c r="H3" s="21"/>
      <c r="I3" s="6"/>
    </row>
    <row r="4" spans="1:9" ht="15" customHeight="1" x14ac:dyDescent="0.25">
      <c r="A4" s="12"/>
      <c r="B4" s="13"/>
      <c r="C4" s="5"/>
      <c r="D4" s="4"/>
      <c r="E4" s="25" t="s">
        <v>11</v>
      </c>
      <c r="F4" s="26" t="e">
        <f>Header!#REF!</f>
        <v>#REF!</v>
      </c>
      <c r="G4" s="27" t="s">
        <v>0</v>
      </c>
      <c r="H4" s="26" t="e">
        <f>Header!#REF!</f>
        <v>#REF!</v>
      </c>
    </row>
    <row r="5" spans="1:9" ht="15" customHeight="1" x14ac:dyDescent="0.25">
      <c r="A5" s="1"/>
      <c r="C5" s="5"/>
      <c r="D5" s="4"/>
      <c r="E5" s="25"/>
      <c r="F5" s="28"/>
      <c r="G5" s="27"/>
      <c r="H5" s="26"/>
    </row>
    <row r="6" spans="1:9" ht="15" customHeight="1" thickBot="1" x14ac:dyDescent="0.3">
      <c r="A6" s="1" t="s">
        <v>10</v>
      </c>
      <c r="C6" s="7" t="e">
        <f>UPPER(Header!#REF!)</f>
        <v>#REF!</v>
      </c>
      <c r="D6" s="7"/>
      <c r="E6" s="29" t="e">
        <f>("PROF: ")&amp; Header!#REF!</f>
        <v>#REF!</v>
      </c>
      <c r="F6" s="29"/>
      <c r="G6" s="29"/>
      <c r="H6" s="29"/>
    </row>
    <row r="7" spans="1:9" ht="18" customHeight="1" thickBot="1" x14ac:dyDescent="0.3">
      <c r="A7" s="8" t="s">
        <v>12</v>
      </c>
      <c r="B7" s="9"/>
      <c r="C7" s="10" t="s">
        <v>1</v>
      </c>
      <c r="D7" s="2"/>
      <c r="E7" s="22" t="s">
        <v>2</v>
      </c>
      <c r="F7" s="22"/>
      <c r="G7" s="22"/>
      <c r="H7" s="22"/>
    </row>
    <row r="8" spans="1:9" ht="20.100000000000001" customHeight="1" x14ac:dyDescent="0.25">
      <c r="A8" s="18" t="e">
        <f>UPPER(Termos_table!#REF!)</f>
        <v>#REF!</v>
      </c>
      <c r="B8" s="4"/>
      <c r="C8" s="14" t="e">
        <f>UPPER(Termos_table!#REF!)</f>
        <v>#REF!</v>
      </c>
      <c r="D8" s="15"/>
      <c r="E8" s="23"/>
      <c r="F8" s="23"/>
      <c r="G8" s="23"/>
      <c r="H8" s="23"/>
    </row>
    <row r="9" spans="1:9" ht="20.100000000000001" customHeight="1" x14ac:dyDescent="0.25">
      <c r="A9" s="19" t="e">
        <f>UPPER(Termos_table!#REF!)</f>
        <v>#REF!</v>
      </c>
      <c r="B9" s="4"/>
      <c r="C9" s="17" t="e">
        <f>UPPER(Termos_table!#REF!)</f>
        <v>#REF!</v>
      </c>
      <c r="D9" s="15"/>
      <c r="E9" s="20"/>
      <c r="F9" s="20"/>
      <c r="G9" s="20"/>
      <c r="H9" s="20"/>
    </row>
    <row r="10" spans="1:9" ht="20.100000000000001" customHeight="1" x14ac:dyDescent="0.25">
      <c r="A10" s="19" t="e">
        <f>UPPER(Termos_table!#REF!)</f>
        <v>#REF!</v>
      </c>
      <c r="B10" s="4"/>
      <c r="C10" s="17" t="e">
        <f>UPPER(Termos_table!#REF!)</f>
        <v>#REF!</v>
      </c>
      <c r="D10" s="15"/>
      <c r="E10" s="20"/>
      <c r="F10" s="20"/>
      <c r="G10" s="20"/>
      <c r="H10" s="20"/>
    </row>
    <row r="11" spans="1:9" ht="20.100000000000001" customHeight="1" x14ac:dyDescent="0.25">
      <c r="A11" s="19" t="e">
        <f>UPPER(Termos_table!#REF!)</f>
        <v>#REF!</v>
      </c>
      <c r="B11" s="4"/>
      <c r="C11" s="17" t="e">
        <f>UPPER(Termos_table!#REF!)</f>
        <v>#REF!</v>
      </c>
      <c r="D11" s="15"/>
      <c r="E11" s="20"/>
      <c r="F11" s="20"/>
      <c r="G11" s="20"/>
      <c r="H11" s="20"/>
    </row>
    <row r="12" spans="1:9" ht="20.100000000000001" customHeight="1" x14ac:dyDescent="0.25">
      <c r="A12" s="19" t="e">
        <f>UPPER(Termos_table!#REF!)</f>
        <v>#REF!</v>
      </c>
      <c r="B12" s="4"/>
      <c r="C12" s="17" t="e">
        <f>UPPER(Termos_table!#REF!)</f>
        <v>#REF!</v>
      </c>
      <c r="D12" s="15"/>
      <c r="E12" s="20"/>
      <c r="F12" s="20"/>
      <c r="G12" s="20"/>
      <c r="H12" s="20"/>
    </row>
    <row r="13" spans="1:9" ht="20.100000000000001" customHeight="1" x14ac:dyDescent="0.25">
      <c r="A13" s="19" t="str">
        <f>UPPER(Termos_table!A4)</f>
        <v>3</v>
      </c>
      <c r="B13" s="4"/>
      <c r="C13" s="17" t="str">
        <f>UPPER(Termos_table!B4)</f>
        <v>LUCAS GERALDO GOMES MACHADO</v>
      </c>
      <c r="D13" s="15"/>
      <c r="E13" s="20"/>
      <c r="F13" s="20"/>
      <c r="G13" s="20"/>
      <c r="H13" s="20"/>
    </row>
    <row r="14" spans="1:9" ht="20.100000000000001" customHeight="1" x14ac:dyDescent="0.25">
      <c r="A14" s="19" t="str">
        <f>UPPER(Termos_table!A5)</f>
        <v/>
      </c>
      <c r="B14" s="4"/>
      <c r="C14" s="17" t="str">
        <f>UPPER(Termos_table!B5)</f>
        <v/>
      </c>
      <c r="D14" s="15"/>
      <c r="E14" s="20"/>
      <c r="F14" s="20"/>
      <c r="G14" s="20"/>
      <c r="H14" s="20"/>
    </row>
    <row r="15" spans="1:9" ht="20.100000000000001" customHeight="1" x14ac:dyDescent="0.25">
      <c r="A15" s="19" t="str">
        <f>UPPER(Termos_table!A6)</f>
        <v/>
      </c>
      <c r="B15" s="4"/>
      <c r="C15" s="17" t="str">
        <f>UPPER(Termos_table!B6)</f>
        <v/>
      </c>
      <c r="D15" s="15"/>
      <c r="E15" s="20"/>
      <c r="F15" s="20"/>
      <c r="G15" s="20"/>
      <c r="H15" s="20"/>
    </row>
    <row r="16" spans="1:9" ht="20.100000000000001" customHeight="1" x14ac:dyDescent="0.25">
      <c r="A16" s="19" t="str">
        <f>UPPER(Termos_table!A7)</f>
        <v/>
      </c>
      <c r="B16" s="4"/>
      <c r="C16" s="17" t="str">
        <f>UPPER(Termos_table!B7)</f>
        <v/>
      </c>
      <c r="D16" s="15"/>
      <c r="E16" s="20"/>
      <c r="F16" s="20"/>
      <c r="G16" s="20"/>
      <c r="H16" s="20"/>
    </row>
    <row r="17" spans="1:8" ht="20.100000000000001" customHeight="1" x14ac:dyDescent="0.25">
      <c r="A17" s="19" t="str">
        <f>UPPER(Termos_table!A8)</f>
        <v/>
      </c>
      <c r="B17" s="4"/>
      <c r="C17" s="17" t="str">
        <f>UPPER(Termos_table!B8)</f>
        <v/>
      </c>
      <c r="D17" s="15"/>
      <c r="E17" s="20"/>
      <c r="F17" s="20"/>
      <c r="G17" s="20"/>
      <c r="H17" s="20"/>
    </row>
    <row r="18" spans="1:8" ht="20.100000000000001" customHeight="1" x14ac:dyDescent="0.25">
      <c r="A18" s="19" t="str">
        <f>UPPER(Termos_table!A9)</f>
        <v/>
      </c>
      <c r="B18" s="4"/>
      <c r="C18" s="17" t="str">
        <f>UPPER(Termos_table!B9)</f>
        <v/>
      </c>
      <c r="D18" s="15"/>
      <c r="E18" s="20"/>
      <c r="F18" s="20"/>
      <c r="G18" s="20"/>
      <c r="H18" s="20"/>
    </row>
    <row r="19" spans="1:8" ht="20.100000000000001" customHeight="1" x14ac:dyDescent="0.25">
      <c r="A19" s="19" t="str">
        <f>UPPER(Termos_table!A10)</f>
        <v/>
      </c>
      <c r="B19" s="4"/>
      <c r="C19" s="17" t="str">
        <f>UPPER(Termos_table!B10)</f>
        <v/>
      </c>
      <c r="D19" s="15"/>
      <c r="E19" s="20"/>
      <c r="F19" s="20"/>
      <c r="G19" s="20"/>
      <c r="H19" s="20"/>
    </row>
    <row r="20" spans="1:8" ht="20.100000000000001" customHeight="1" x14ac:dyDescent="0.25">
      <c r="A20" s="19" t="str">
        <f>UPPER(Termos_table!A11)</f>
        <v/>
      </c>
      <c r="B20" s="4"/>
      <c r="C20" s="17" t="str">
        <f>UPPER(Termos_table!B11)</f>
        <v/>
      </c>
      <c r="D20" s="15"/>
      <c r="E20" s="20"/>
      <c r="F20" s="20"/>
      <c r="G20" s="20"/>
      <c r="H20" s="20"/>
    </row>
    <row r="21" spans="1:8" ht="20.100000000000001" customHeight="1" x14ac:dyDescent="0.25">
      <c r="A21" s="19" t="str">
        <f>UPPER(Termos_table!A12)</f>
        <v/>
      </c>
      <c r="B21" s="4"/>
      <c r="C21" s="17" t="str">
        <f>UPPER(Termos_table!B12)</f>
        <v/>
      </c>
      <c r="D21" s="15"/>
      <c r="E21" s="20"/>
      <c r="F21" s="20"/>
      <c r="G21" s="20"/>
      <c r="H21" s="20"/>
    </row>
    <row r="22" spans="1:8" ht="20.100000000000001" customHeight="1" x14ac:dyDescent="0.25">
      <c r="A22" s="19" t="str">
        <f>UPPER(Termos_table!A13)</f>
        <v/>
      </c>
      <c r="B22" s="4"/>
      <c r="C22" s="17" t="str">
        <f>UPPER(Termos_table!B13)</f>
        <v/>
      </c>
      <c r="D22" s="15"/>
      <c r="E22" s="20"/>
      <c r="F22" s="20"/>
      <c r="G22" s="20"/>
      <c r="H22" s="20"/>
    </row>
    <row r="23" spans="1:8" ht="20.100000000000001" customHeight="1" x14ac:dyDescent="0.25">
      <c r="A23" s="19" t="str">
        <f>UPPER(Termos_table!A14)</f>
        <v/>
      </c>
      <c r="B23" s="4"/>
      <c r="C23" s="17" t="str">
        <f>UPPER(Termos_table!B14)</f>
        <v/>
      </c>
      <c r="D23" s="15"/>
      <c r="E23" s="20"/>
      <c r="F23" s="20"/>
      <c r="G23" s="20"/>
      <c r="H23" s="20"/>
    </row>
    <row r="24" spans="1:8" ht="20.100000000000001" customHeight="1" x14ac:dyDescent="0.25">
      <c r="A24" s="19" t="str">
        <f>UPPER(Termos_table!A15)</f>
        <v/>
      </c>
      <c r="B24" s="4"/>
      <c r="C24" s="17" t="str">
        <f>UPPER(Termos_table!B15)</f>
        <v/>
      </c>
      <c r="D24" s="15"/>
      <c r="E24" s="20"/>
      <c r="F24" s="20"/>
      <c r="G24" s="20"/>
      <c r="H24" s="20"/>
    </row>
    <row r="25" spans="1:8" ht="20.100000000000001" customHeight="1" x14ac:dyDescent="0.25">
      <c r="A25" s="19" t="str">
        <f>UPPER(Termos_table!A16)</f>
        <v/>
      </c>
      <c r="B25" s="4"/>
      <c r="C25" s="17" t="str">
        <f>UPPER(Termos_table!B16)</f>
        <v/>
      </c>
      <c r="D25" s="15"/>
      <c r="E25" s="20"/>
      <c r="F25" s="20"/>
      <c r="G25" s="20"/>
      <c r="H25" s="20"/>
    </row>
    <row r="26" spans="1:8" ht="20.100000000000001" customHeight="1" x14ac:dyDescent="0.25">
      <c r="A26" s="19" t="str">
        <f>UPPER(Termos_table!A17)</f>
        <v/>
      </c>
      <c r="B26" s="4"/>
      <c r="C26" s="17" t="str">
        <f>UPPER(Termos_table!B17)</f>
        <v/>
      </c>
      <c r="D26" s="15"/>
      <c r="E26" s="20"/>
      <c r="F26" s="20"/>
      <c r="G26" s="20"/>
      <c r="H26" s="20"/>
    </row>
    <row r="27" spans="1:8" ht="20.100000000000001" customHeight="1" x14ac:dyDescent="0.25">
      <c r="A27" s="19" t="str">
        <f>UPPER(Termos_table!A18)</f>
        <v/>
      </c>
      <c r="B27" s="4"/>
      <c r="C27" s="17" t="str">
        <f>UPPER(Termos_table!B18)</f>
        <v/>
      </c>
      <c r="D27" s="15"/>
      <c r="E27" s="20"/>
      <c r="F27" s="20"/>
      <c r="G27" s="20"/>
      <c r="H27" s="20"/>
    </row>
    <row r="28" spans="1:8" ht="20.100000000000001" customHeight="1" x14ac:dyDescent="0.25">
      <c r="A28" s="19" t="str">
        <f>UPPER(Termos_table!A19)</f>
        <v/>
      </c>
      <c r="B28" s="4"/>
      <c r="C28" s="17" t="str">
        <f>UPPER(Termos_table!B19)</f>
        <v/>
      </c>
      <c r="D28" s="4"/>
      <c r="E28" s="20"/>
      <c r="F28" s="20"/>
      <c r="G28" s="20"/>
      <c r="H28" s="20"/>
    </row>
    <row r="29" spans="1:8" ht="20.100000000000001" customHeight="1" x14ac:dyDescent="0.25">
      <c r="A29" s="19" t="str">
        <f>UPPER(Termos_table!A20)</f>
        <v/>
      </c>
      <c r="B29" s="4"/>
      <c r="C29" s="17" t="str">
        <f>UPPER(Termos_table!B20)</f>
        <v/>
      </c>
      <c r="D29" s="4"/>
      <c r="E29" s="20"/>
      <c r="F29" s="20"/>
      <c r="G29" s="20"/>
      <c r="H29" s="20"/>
    </row>
    <row r="30" spans="1:8" ht="20.100000000000001" customHeight="1" x14ac:dyDescent="0.25">
      <c r="A30" s="19" t="str">
        <f>UPPER(Termos_table!A21)</f>
        <v/>
      </c>
      <c r="B30" s="4"/>
      <c r="C30" s="17" t="str">
        <f>UPPER(Termos_table!B21)</f>
        <v/>
      </c>
      <c r="D30" s="4"/>
      <c r="E30" s="20"/>
      <c r="F30" s="20"/>
      <c r="G30" s="20"/>
      <c r="H30" s="20"/>
    </row>
    <row r="31" spans="1:8" ht="20.100000000000001" customHeight="1" x14ac:dyDescent="0.25">
      <c r="A31" s="19" t="str">
        <f>UPPER(Termos_table!A22)</f>
        <v/>
      </c>
      <c r="B31" s="4"/>
      <c r="C31" s="17" t="str">
        <f>UPPER(Termos_table!B22)</f>
        <v/>
      </c>
      <c r="D31" s="4"/>
      <c r="E31" s="20"/>
      <c r="F31" s="20"/>
      <c r="G31" s="20"/>
      <c r="H31" s="20"/>
    </row>
    <row r="32" spans="1:8" ht="20.100000000000001" customHeight="1" x14ac:dyDescent="0.25">
      <c r="A32" s="19" t="str">
        <f>UPPER(Termos_table!A23)</f>
        <v/>
      </c>
      <c r="B32" s="4"/>
      <c r="C32" s="17" t="str">
        <f>UPPER(Termos_table!B23)</f>
        <v/>
      </c>
      <c r="D32" s="4"/>
      <c r="E32" s="20"/>
      <c r="F32" s="20"/>
      <c r="G32" s="20"/>
      <c r="H32" s="20"/>
    </row>
    <row r="33" spans="1:8" ht="20.100000000000001" customHeight="1" x14ac:dyDescent="0.25">
      <c r="A33" s="19" t="str">
        <f>UPPER(Termos_table!A24)</f>
        <v/>
      </c>
      <c r="B33" s="4"/>
      <c r="C33" s="17" t="str">
        <f>UPPER(Termos_table!B24)</f>
        <v/>
      </c>
      <c r="D33" s="4"/>
      <c r="E33" s="20"/>
      <c r="F33" s="20"/>
      <c r="G33" s="20"/>
      <c r="H33" s="20"/>
    </row>
    <row r="34" spans="1:8" ht="20.100000000000001" customHeight="1" x14ac:dyDescent="0.25">
      <c r="A34" s="19" t="str">
        <f>UPPER(Termos_table!A25)</f>
        <v/>
      </c>
      <c r="B34" s="4"/>
      <c r="C34" s="17" t="str">
        <f>UPPER(Termos_table!B25)</f>
        <v/>
      </c>
      <c r="D34" s="4"/>
      <c r="E34" s="20"/>
      <c r="F34" s="20"/>
      <c r="G34" s="20"/>
      <c r="H34" s="20"/>
    </row>
    <row r="35" spans="1:8" ht="20.100000000000001" customHeight="1" x14ac:dyDescent="0.25">
      <c r="A35" s="19" t="str">
        <f>UPPER(Termos_table!A26)</f>
        <v/>
      </c>
      <c r="B35" s="4"/>
      <c r="C35" s="17" t="str">
        <f>UPPER(Termos_table!B26)</f>
        <v/>
      </c>
      <c r="D35" s="4"/>
      <c r="E35" s="20"/>
      <c r="F35" s="20"/>
      <c r="G35" s="20"/>
      <c r="H35" s="20"/>
    </row>
    <row r="36" spans="1:8" ht="20.100000000000001" customHeight="1" x14ac:dyDescent="0.25">
      <c r="A36" s="19" t="str">
        <f>UPPER(Termos_table!A27)</f>
        <v/>
      </c>
      <c r="B36" s="4"/>
      <c r="C36" s="17" t="str">
        <f>UPPER(Termos_table!B27)</f>
        <v/>
      </c>
      <c r="D36" s="4"/>
      <c r="E36" s="20"/>
      <c r="F36" s="20"/>
      <c r="G36" s="20"/>
      <c r="H36" s="20"/>
    </row>
    <row r="37" spans="1:8" ht="20.100000000000001" customHeight="1" x14ac:dyDescent="0.25">
      <c r="A37" s="19" t="str">
        <f>UPPER(Termos_table!A28)</f>
        <v/>
      </c>
      <c r="B37" s="4"/>
      <c r="C37" s="17" t="str">
        <f>UPPER(Termos_table!B28)</f>
        <v/>
      </c>
      <c r="D37" s="4"/>
      <c r="E37" s="20"/>
      <c r="F37" s="20"/>
      <c r="G37" s="20"/>
      <c r="H37" s="20"/>
    </row>
    <row r="38" spans="1:8" ht="20.100000000000001" customHeight="1" x14ac:dyDescent="0.25">
      <c r="A38" s="19" t="str">
        <f>UPPER(Termos_table!A29)</f>
        <v/>
      </c>
      <c r="B38" s="4"/>
      <c r="C38" s="17" t="str">
        <f>UPPER(Termos_table!B29)</f>
        <v/>
      </c>
      <c r="D38" s="4"/>
      <c r="E38" s="20"/>
      <c r="F38" s="20"/>
      <c r="G38" s="20"/>
      <c r="H38" s="20"/>
    </row>
    <row r="39" spans="1:8" ht="20.100000000000001" customHeight="1" x14ac:dyDescent="0.25">
      <c r="A39" s="19" t="str">
        <f>UPPER(Termos_table!A30)</f>
        <v/>
      </c>
      <c r="B39" s="4"/>
      <c r="C39" s="17" t="str">
        <f>UPPER(Termos_table!B30)</f>
        <v/>
      </c>
      <c r="D39" s="4"/>
      <c r="E39" s="20"/>
      <c r="F39" s="20"/>
      <c r="G39" s="20"/>
      <c r="H39" s="20"/>
    </row>
    <row r="40" spans="1:8" ht="20.100000000000001" customHeight="1" x14ac:dyDescent="0.25">
      <c r="A40" s="19" t="str">
        <f>UPPER(Termos_table!A31)</f>
        <v/>
      </c>
      <c r="B40" s="4"/>
      <c r="C40" s="17" t="str">
        <f>UPPER(Termos_table!B31)</f>
        <v/>
      </c>
      <c r="D40" s="4"/>
      <c r="E40" s="20"/>
      <c r="F40" s="20"/>
      <c r="G40" s="20"/>
      <c r="H40" s="20"/>
    </row>
    <row r="41" spans="1:8" ht="20.100000000000001" customHeight="1" x14ac:dyDescent="0.25">
      <c r="A41" s="19" t="str">
        <f>UPPER(Termos_table!A32)</f>
        <v/>
      </c>
      <c r="B41" s="4"/>
      <c r="C41" s="17" t="str">
        <f>UPPER(Termos_table!B32)</f>
        <v/>
      </c>
      <c r="D41" s="4"/>
      <c r="E41" s="20"/>
      <c r="F41" s="20"/>
      <c r="G41" s="20"/>
      <c r="H41" s="20"/>
    </row>
    <row r="42" spans="1:8" ht="20.100000000000001" customHeight="1" x14ac:dyDescent="0.25">
      <c r="A42" s="16"/>
      <c r="B42" s="4"/>
      <c r="C42" s="17"/>
      <c r="D42" s="4"/>
      <c r="E42" s="20"/>
      <c r="F42" s="20"/>
      <c r="G42" s="20"/>
      <c r="H42" s="20"/>
    </row>
  </sheetData>
  <mergeCells count="42">
    <mergeCell ref="E41:H41"/>
    <mergeCell ref="E42:H42"/>
    <mergeCell ref="G4:G5"/>
    <mergeCell ref="H4:H5"/>
    <mergeCell ref="F4:F5"/>
    <mergeCell ref="E4:E5"/>
    <mergeCell ref="E6:H6"/>
    <mergeCell ref="E35:H35"/>
    <mergeCell ref="E36:H36"/>
    <mergeCell ref="E37:H37"/>
    <mergeCell ref="E38:H38"/>
    <mergeCell ref="E39:H39"/>
    <mergeCell ref="E40:H40"/>
    <mergeCell ref="E29:H29"/>
    <mergeCell ref="E30:H30"/>
    <mergeCell ref="E31:H31"/>
    <mergeCell ref="E32:H32"/>
    <mergeCell ref="E33:H33"/>
    <mergeCell ref="E34:H34"/>
    <mergeCell ref="E23:H23"/>
    <mergeCell ref="E24:H24"/>
    <mergeCell ref="E25:H25"/>
    <mergeCell ref="E26:H26"/>
    <mergeCell ref="E27:H27"/>
    <mergeCell ref="E28:H28"/>
    <mergeCell ref="E22:H22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7:H7"/>
    <mergeCell ref="E8:H8"/>
    <mergeCell ref="E9:H9"/>
    <mergeCell ref="E10:H10"/>
    <mergeCell ref="C2:H3"/>
  </mergeCells>
  <pageMargins left="0.7" right="0.7" top="0.75" bottom="0.75" header="0.3" footer="0.3"/>
  <pageSetup paperSize="9" scale="60" fitToHeight="0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6033-CF78-48F1-B5A4-1FC98F75C490}">
  <sheetPr codeName="Planilha7">
    <pageSetUpPr fitToPage="1"/>
  </sheetPr>
  <dimension ref="A1:H42"/>
  <sheetViews>
    <sheetView workbookViewId="0">
      <selection activeCell="M17" sqref="M17"/>
    </sheetView>
  </sheetViews>
  <sheetFormatPr defaultRowHeight="15" x14ac:dyDescent="0.25"/>
  <cols>
    <col min="2" max="2" width="0.85546875" customWidth="1"/>
    <col min="3" max="3" width="50.85546875" bestFit="1" customWidth="1"/>
    <col min="4" max="4" width="0.85546875" customWidth="1"/>
    <col min="5" max="6" width="12.140625" customWidth="1"/>
    <col min="7" max="8" width="12.140625" bestFit="1" customWidth="1"/>
  </cols>
  <sheetData>
    <row r="1" spans="1:8" ht="15" customHeight="1" x14ac:dyDescent="0.25">
      <c r="A1" s="12"/>
      <c r="B1" s="13"/>
      <c r="C1" s="13"/>
      <c r="D1" s="13"/>
    </row>
    <row r="2" spans="1:8" ht="15" customHeight="1" x14ac:dyDescent="0.25">
      <c r="A2" s="12"/>
      <c r="B2" s="13"/>
      <c r="C2" s="21" t="s">
        <v>15</v>
      </c>
      <c r="D2" s="21"/>
      <c r="E2" s="21"/>
      <c r="F2" s="21"/>
      <c r="G2" s="21"/>
      <c r="H2" s="21"/>
    </row>
    <row r="3" spans="1:8" ht="15" customHeight="1" x14ac:dyDescent="0.25">
      <c r="A3" s="12"/>
      <c r="B3" s="13"/>
      <c r="C3" s="21"/>
      <c r="D3" s="21"/>
      <c r="E3" s="21"/>
      <c r="F3" s="21"/>
      <c r="G3" s="21"/>
      <c r="H3" s="21"/>
    </row>
    <row r="4" spans="1:8" ht="15" customHeight="1" x14ac:dyDescent="0.25">
      <c r="A4" s="12"/>
      <c r="B4" s="13"/>
      <c r="C4" s="5"/>
      <c r="D4" s="4"/>
      <c r="E4" s="25" t="s">
        <v>11</v>
      </c>
      <c r="F4" s="26" t="e">
        <f>Header!#REF!</f>
        <v>#REF!</v>
      </c>
      <c r="G4" s="27" t="s">
        <v>0</v>
      </c>
      <c r="H4" s="26" t="e">
        <f>Header!#REF!</f>
        <v>#REF!</v>
      </c>
    </row>
    <row r="5" spans="1:8" ht="15" customHeight="1" x14ac:dyDescent="0.25">
      <c r="A5" s="1"/>
      <c r="C5" s="5"/>
      <c r="D5" s="4"/>
      <c r="E5" s="25"/>
      <c r="F5" s="28"/>
      <c r="G5" s="27"/>
      <c r="H5" s="26"/>
    </row>
    <row r="6" spans="1:8" ht="15" customHeight="1" thickBot="1" x14ac:dyDescent="0.3">
      <c r="A6" s="1" t="s">
        <v>10</v>
      </c>
      <c r="C6" s="7" t="e">
        <f>UPPER(Header!#REF!)</f>
        <v>#REF!</v>
      </c>
      <c r="D6" s="7"/>
      <c r="E6" s="29" t="e">
        <f>("PROF: ")&amp; Header!#REF!</f>
        <v>#REF!</v>
      </c>
      <c r="F6" s="29"/>
      <c r="G6" s="29"/>
      <c r="H6" s="29"/>
    </row>
    <row r="7" spans="1:8" ht="18" customHeight="1" thickBot="1" x14ac:dyDescent="0.3">
      <c r="A7" s="8" t="s">
        <v>12</v>
      </c>
      <c r="B7" s="9"/>
      <c r="C7" s="10" t="s">
        <v>1</v>
      </c>
      <c r="D7" s="2"/>
      <c r="E7" s="22" t="s">
        <v>2</v>
      </c>
      <c r="F7" s="22"/>
      <c r="G7" s="22"/>
      <c r="H7" s="22"/>
    </row>
    <row r="8" spans="1:8" ht="20.100000000000001" customHeight="1" x14ac:dyDescent="0.25">
      <c r="A8" s="18" t="e">
        <f>UPPER(Atividade_table!#REF!)</f>
        <v>#REF!</v>
      </c>
      <c r="B8" s="4"/>
      <c r="C8" s="14" t="e">
        <f>UPPER(Atividade_table!#REF!)</f>
        <v>#REF!</v>
      </c>
      <c r="D8" s="15"/>
      <c r="E8" s="23"/>
      <c r="F8" s="23"/>
      <c r="G8" s="23"/>
      <c r="H8" s="23"/>
    </row>
    <row r="9" spans="1:8" ht="20.100000000000001" customHeight="1" x14ac:dyDescent="0.25">
      <c r="A9" s="19" t="e">
        <f>UPPER(Atividade_table!#REF!)</f>
        <v>#REF!</v>
      </c>
      <c r="B9" s="4"/>
      <c r="C9" s="17" t="e">
        <f>UPPER(Atividade_table!#REF!)</f>
        <v>#REF!</v>
      </c>
      <c r="D9" s="15"/>
      <c r="E9" s="20"/>
      <c r="F9" s="20"/>
      <c r="G9" s="20"/>
      <c r="H9" s="20"/>
    </row>
    <row r="10" spans="1:8" ht="20.100000000000001" customHeight="1" x14ac:dyDescent="0.25">
      <c r="A10" s="19" t="e">
        <f>UPPER(Atividade_table!#REF!)</f>
        <v>#REF!</v>
      </c>
      <c r="B10" s="4"/>
      <c r="C10" s="17" t="e">
        <f>UPPER(Atividade_table!#REF!)</f>
        <v>#REF!</v>
      </c>
      <c r="D10" s="15"/>
      <c r="E10" s="20"/>
      <c r="F10" s="20"/>
      <c r="G10" s="20"/>
      <c r="H10" s="20"/>
    </row>
    <row r="11" spans="1:8" ht="20.100000000000001" customHeight="1" x14ac:dyDescent="0.25">
      <c r="A11" s="19" t="e">
        <f>UPPER(Atividade_table!#REF!)</f>
        <v>#REF!</v>
      </c>
      <c r="B11" s="4"/>
      <c r="C11" s="17" t="e">
        <f>UPPER(Atividade_table!#REF!)</f>
        <v>#REF!</v>
      </c>
      <c r="D11" s="15"/>
      <c r="E11" s="20"/>
      <c r="F11" s="20"/>
      <c r="G11" s="20"/>
      <c r="H11" s="20"/>
    </row>
    <row r="12" spans="1:8" ht="20.100000000000001" customHeight="1" x14ac:dyDescent="0.25">
      <c r="A12" s="19" t="str">
        <f>UPPER(Atividade_table!A2)</f>
        <v/>
      </c>
      <c r="B12" s="4"/>
      <c r="C12" s="17" t="str">
        <f>UPPER(Atividade_table!B2)</f>
        <v/>
      </c>
      <c r="D12" s="15"/>
      <c r="E12" s="20"/>
      <c r="F12" s="20"/>
      <c r="G12" s="20"/>
      <c r="H12" s="20"/>
    </row>
    <row r="13" spans="1:8" ht="20.100000000000001" customHeight="1" x14ac:dyDescent="0.25">
      <c r="A13" s="19" t="str">
        <f>UPPER(Atividade_table!A3)</f>
        <v/>
      </c>
      <c r="B13" s="4"/>
      <c r="C13" s="17" t="str">
        <f>UPPER(Atividade_table!B3)</f>
        <v/>
      </c>
      <c r="D13" s="15"/>
      <c r="E13" s="20"/>
      <c r="F13" s="20"/>
      <c r="G13" s="20"/>
      <c r="H13" s="20"/>
    </row>
    <row r="14" spans="1:8" ht="20.100000000000001" customHeight="1" x14ac:dyDescent="0.25">
      <c r="A14" s="19" t="str">
        <f>UPPER(Atividade_table!A4)</f>
        <v/>
      </c>
      <c r="B14" s="4"/>
      <c r="C14" s="17" t="str">
        <f>UPPER(Atividade_table!B4)</f>
        <v/>
      </c>
      <c r="D14" s="15"/>
      <c r="E14" s="20"/>
      <c r="F14" s="20"/>
      <c r="G14" s="20"/>
      <c r="H14" s="20"/>
    </row>
    <row r="15" spans="1:8" ht="20.100000000000001" customHeight="1" x14ac:dyDescent="0.25">
      <c r="A15" s="19" t="str">
        <f>UPPER(Atividade_table!A5)</f>
        <v/>
      </c>
      <c r="B15" s="4"/>
      <c r="C15" s="17" t="str">
        <f>UPPER(Atividade_table!B5)</f>
        <v/>
      </c>
      <c r="D15" s="15"/>
      <c r="E15" s="20"/>
      <c r="F15" s="20"/>
      <c r="G15" s="20"/>
      <c r="H15" s="20"/>
    </row>
    <row r="16" spans="1:8" ht="20.100000000000001" customHeight="1" x14ac:dyDescent="0.25">
      <c r="A16" s="19" t="str">
        <f>UPPER(Atividade_table!A6)</f>
        <v/>
      </c>
      <c r="B16" s="4"/>
      <c r="C16" s="17" t="str">
        <f>UPPER(Atividade_table!B6)</f>
        <v/>
      </c>
      <c r="D16" s="15"/>
      <c r="E16" s="20"/>
      <c r="F16" s="20"/>
      <c r="G16" s="20"/>
      <c r="H16" s="20"/>
    </row>
    <row r="17" spans="1:8" ht="20.100000000000001" customHeight="1" x14ac:dyDescent="0.25">
      <c r="A17" s="19" t="str">
        <f>UPPER(Atividade_table!A7)</f>
        <v/>
      </c>
      <c r="B17" s="4"/>
      <c r="C17" s="17" t="str">
        <f>UPPER(Atividade_table!B7)</f>
        <v/>
      </c>
      <c r="D17" s="15"/>
      <c r="E17" s="20"/>
      <c r="F17" s="20"/>
      <c r="G17" s="20"/>
      <c r="H17" s="20"/>
    </row>
    <row r="18" spans="1:8" ht="20.100000000000001" customHeight="1" x14ac:dyDescent="0.25">
      <c r="A18" s="19" t="str">
        <f>UPPER(Atividade_table!A8)</f>
        <v/>
      </c>
      <c r="B18" s="4"/>
      <c r="C18" s="17" t="str">
        <f>UPPER(Atividade_table!B8)</f>
        <v/>
      </c>
      <c r="D18" s="15"/>
      <c r="E18" s="20"/>
      <c r="F18" s="20"/>
      <c r="G18" s="20"/>
      <c r="H18" s="20"/>
    </row>
    <row r="19" spans="1:8" ht="20.100000000000001" customHeight="1" x14ac:dyDescent="0.25">
      <c r="A19" s="19" t="str">
        <f>UPPER(Atividade_table!A9)</f>
        <v/>
      </c>
      <c r="B19" s="4"/>
      <c r="C19" s="17" t="str">
        <f>UPPER(Atividade_table!B9)</f>
        <v/>
      </c>
      <c r="D19" s="15"/>
      <c r="E19" s="20"/>
      <c r="F19" s="20"/>
      <c r="G19" s="20"/>
      <c r="H19" s="20"/>
    </row>
    <row r="20" spans="1:8" ht="20.100000000000001" customHeight="1" x14ac:dyDescent="0.25">
      <c r="A20" s="19" t="str">
        <f>UPPER(Atividade_table!A10)</f>
        <v/>
      </c>
      <c r="B20" s="4"/>
      <c r="C20" s="17" t="str">
        <f>UPPER(Atividade_table!B10)</f>
        <v/>
      </c>
      <c r="D20" s="15"/>
      <c r="E20" s="20"/>
      <c r="F20" s="20"/>
      <c r="G20" s="20"/>
      <c r="H20" s="20"/>
    </row>
    <row r="21" spans="1:8" ht="20.100000000000001" customHeight="1" x14ac:dyDescent="0.25">
      <c r="A21" s="19" t="str">
        <f>UPPER(Atividade_table!A11)</f>
        <v/>
      </c>
      <c r="B21" s="4"/>
      <c r="C21" s="17" t="str">
        <f>UPPER(Atividade_table!B11)</f>
        <v/>
      </c>
      <c r="D21" s="15"/>
      <c r="E21" s="20"/>
      <c r="F21" s="20"/>
      <c r="G21" s="20"/>
      <c r="H21" s="20"/>
    </row>
    <row r="22" spans="1:8" ht="20.100000000000001" customHeight="1" x14ac:dyDescent="0.25">
      <c r="A22" s="19" t="str">
        <f>UPPER(Atividade_table!A12)</f>
        <v/>
      </c>
      <c r="B22" s="4"/>
      <c r="C22" s="17" t="str">
        <f>UPPER(Atividade_table!B12)</f>
        <v/>
      </c>
      <c r="D22" s="15"/>
      <c r="E22" s="20"/>
      <c r="F22" s="20"/>
      <c r="G22" s="20"/>
      <c r="H22" s="20"/>
    </row>
    <row r="23" spans="1:8" ht="20.100000000000001" customHeight="1" x14ac:dyDescent="0.25">
      <c r="A23" s="19" t="str">
        <f>UPPER(Atividade_table!A13)</f>
        <v/>
      </c>
      <c r="B23" s="4"/>
      <c r="C23" s="17" t="str">
        <f>UPPER(Atividade_table!B13)</f>
        <v/>
      </c>
      <c r="D23" s="15"/>
      <c r="E23" s="20"/>
      <c r="F23" s="20"/>
      <c r="G23" s="20"/>
      <c r="H23" s="20"/>
    </row>
    <row r="24" spans="1:8" ht="20.100000000000001" customHeight="1" x14ac:dyDescent="0.25">
      <c r="A24" s="19" t="str">
        <f>UPPER(Atividade_table!A14)</f>
        <v/>
      </c>
      <c r="B24" s="4"/>
      <c r="C24" s="17" t="str">
        <f>UPPER(Atividade_table!B14)</f>
        <v/>
      </c>
      <c r="D24" s="15"/>
      <c r="E24" s="20"/>
      <c r="F24" s="20"/>
      <c r="G24" s="20"/>
      <c r="H24" s="20"/>
    </row>
    <row r="25" spans="1:8" ht="20.100000000000001" customHeight="1" x14ac:dyDescent="0.25">
      <c r="A25" s="19" t="str">
        <f>UPPER(Atividade_table!A15)</f>
        <v/>
      </c>
      <c r="B25" s="4"/>
      <c r="C25" s="17" t="str">
        <f>UPPER(Atividade_table!B15)</f>
        <v/>
      </c>
      <c r="D25" s="15"/>
      <c r="E25" s="20"/>
      <c r="F25" s="20"/>
      <c r="G25" s="20"/>
      <c r="H25" s="20"/>
    </row>
    <row r="26" spans="1:8" ht="20.100000000000001" customHeight="1" x14ac:dyDescent="0.25">
      <c r="A26" s="19" t="str">
        <f>UPPER(Atividade_table!A16)</f>
        <v/>
      </c>
      <c r="B26" s="4"/>
      <c r="C26" s="17" t="str">
        <f>UPPER(Atividade_table!B16)</f>
        <v/>
      </c>
      <c r="D26" s="15"/>
      <c r="E26" s="20"/>
      <c r="F26" s="20"/>
      <c r="G26" s="20"/>
      <c r="H26" s="20"/>
    </row>
    <row r="27" spans="1:8" ht="20.100000000000001" customHeight="1" x14ac:dyDescent="0.25">
      <c r="A27" s="19" t="str">
        <f>UPPER(Atividade_table!A17)</f>
        <v/>
      </c>
      <c r="B27" s="4"/>
      <c r="C27" s="17" t="str">
        <f>UPPER(Atividade_table!B17)</f>
        <v/>
      </c>
      <c r="D27" s="15"/>
      <c r="E27" s="20"/>
      <c r="F27" s="20"/>
      <c r="G27" s="20"/>
      <c r="H27" s="20"/>
    </row>
    <row r="28" spans="1:8" ht="20.100000000000001" customHeight="1" x14ac:dyDescent="0.25">
      <c r="A28" s="19" t="str">
        <f>UPPER(Atividade_table!A18)</f>
        <v/>
      </c>
      <c r="B28" s="4"/>
      <c r="C28" s="17" t="str">
        <f>UPPER(Atividade_table!B18)</f>
        <v/>
      </c>
      <c r="D28" s="4"/>
      <c r="E28" s="20"/>
      <c r="F28" s="20"/>
      <c r="G28" s="20"/>
      <c r="H28" s="20"/>
    </row>
    <row r="29" spans="1:8" ht="20.100000000000001" customHeight="1" x14ac:dyDescent="0.25">
      <c r="A29" s="19" t="str">
        <f>UPPER(Atividade_table!A19)</f>
        <v/>
      </c>
      <c r="B29" s="4"/>
      <c r="C29" s="17" t="str">
        <f>UPPER(Atividade_table!B19)</f>
        <v/>
      </c>
      <c r="D29" s="4"/>
      <c r="E29" s="20"/>
      <c r="F29" s="20"/>
      <c r="G29" s="20"/>
      <c r="H29" s="20"/>
    </row>
    <row r="30" spans="1:8" ht="20.100000000000001" customHeight="1" x14ac:dyDescent="0.25">
      <c r="A30" s="19" t="str">
        <f>UPPER(Atividade_table!A20)</f>
        <v/>
      </c>
      <c r="B30" s="4"/>
      <c r="C30" s="17" t="str">
        <f>UPPER(Atividade_table!B20)</f>
        <v/>
      </c>
      <c r="D30" s="4"/>
      <c r="E30" s="20"/>
      <c r="F30" s="20"/>
      <c r="G30" s="20"/>
      <c r="H30" s="20"/>
    </row>
    <row r="31" spans="1:8" ht="20.100000000000001" customHeight="1" x14ac:dyDescent="0.25">
      <c r="A31" s="19" t="str">
        <f>UPPER(Atividade_table!A21)</f>
        <v/>
      </c>
      <c r="B31" s="4"/>
      <c r="C31" s="17" t="str">
        <f>UPPER(Atividade_table!B21)</f>
        <v/>
      </c>
      <c r="D31" s="4"/>
      <c r="E31" s="20"/>
      <c r="F31" s="20"/>
      <c r="G31" s="20"/>
      <c r="H31" s="20"/>
    </row>
    <row r="32" spans="1:8" ht="20.100000000000001" customHeight="1" x14ac:dyDescent="0.25">
      <c r="A32" s="19" t="str">
        <f>UPPER(Atividade_table!A22)</f>
        <v/>
      </c>
      <c r="B32" s="4"/>
      <c r="C32" s="17" t="str">
        <f>UPPER(Atividade_table!B22)</f>
        <v/>
      </c>
      <c r="D32" s="4"/>
      <c r="E32" s="20"/>
      <c r="F32" s="20"/>
      <c r="G32" s="20"/>
      <c r="H32" s="20"/>
    </row>
    <row r="33" spans="1:8" ht="20.100000000000001" customHeight="1" x14ac:dyDescent="0.25">
      <c r="A33" s="19" t="str">
        <f>UPPER(Atividade_table!A23)</f>
        <v/>
      </c>
      <c r="B33" s="4"/>
      <c r="C33" s="17" t="str">
        <f>UPPER(Atividade_table!B23)</f>
        <v/>
      </c>
      <c r="D33" s="4"/>
      <c r="E33" s="20"/>
      <c r="F33" s="20"/>
      <c r="G33" s="20"/>
      <c r="H33" s="20"/>
    </row>
    <row r="34" spans="1:8" ht="20.100000000000001" customHeight="1" x14ac:dyDescent="0.25">
      <c r="A34" s="19" t="str">
        <f>UPPER(Atividade_table!A24)</f>
        <v/>
      </c>
      <c r="B34" s="4"/>
      <c r="C34" s="17" t="str">
        <f>UPPER(Atividade_table!B24)</f>
        <v/>
      </c>
      <c r="D34" s="4"/>
      <c r="E34" s="20"/>
      <c r="F34" s="20"/>
      <c r="G34" s="20"/>
      <c r="H34" s="20"/>
    </row>
    <row r="35" spans="1:8" ht="20.100000000000001" customHeight="1" x14ac:dyDescent="0.25">
      <c r="A35" s="19" t="str">
        <f>UPPER(Atividade_table!A25)</f>
        <v/>
      </c>
      <c r="B35" s="4"/>
      <c r="C35" s="17" t="str">
        <f>UPPER(Atividade_table!B25)</f>
        <v/>
      </c>
      <c r="D35" s="4"/>
      <c r="E35" s="20"/>
      <c r="F35" s="20"/>
      <c r="G35" s="20"/>
      <c r="H35" s="20"/>
    </row>
    <row r="36" spans="1:8" ht="20.100000000000001" customHeight="1" x14ac:dyDescent="0.25">
      <c r="A36" s="19" t="str">
        <f>UPPER(Atividade_table!A26)</f>
        <v/>
      </c>
      <c r="B36" s="4"/>
      <c r="C36" s="17" t="str">
        <f>UPPER(Atividade_table!B26)</f>
        <v/>
      </c>
      <c r="D36" s="4"/>
      <c r="E36" s="20"/>
      <c r="F36" s="20"/>
      <c r="G36" s="20"/>
      <c r="H36" s="20"/>
    </row>
    <row r="37" spans="1:8" ht="20.100000000000001" customHeight="1" x14ac:dyDescent="0.25">
      <c r="A37" s="19" t="str">
        <f>UPPER(Atividade_table!A27)</f>
        <v/>
      </c>
      <c r="B37" s="4"/>
      <c r="C37" s="17" t="str">
        <f>UPPER(Atividade_table!B27)</f>
        <v/>
      </c>
      <c r="D37" s="4"/>
      <c r="E37" s="20"/>
      <c r="F37" s="20"/>
      <c r="G37" s="20"/>
      <c r="H37" s="20"/>
    </row>
    <row r="38" spans="1:8" ht="20.100000000000001" customHeight="1" x14ac:dyDescent="0.25">
      <c r="A38" s="19" t="str">
        <f>UPPER(Atividade_table!A28)</f>
        <v/>
      </c>
      <c r="B38" s="4"/>
      <c r="C38" s="17" t="str">
        <f>UPPER(Atividade_table!B28)</f>
        <v/>
      </c>
      <c r="D38" s="4"/>
      <c r="E38" s="20"/>
      <c r="F38" s="20"/>
      <c r="G38" s="20"/>
      <c r="H38" s="20"/>
    </row>
    <row r="39" spans="1:8" ht="20.100000000000001" customHeight="1" x14ac:dyDescent="0.25">
      <c r="A39" s="19" t="str">
        <f>UPPER(Atividade_table!A29)</f>
        <v/>
      </c>
      <c r="B39" s="4"/>
      <c r="C39" s="17" t="str">
        <f>UPPER(Atividade_table!B29)</f>
        <v/>
      </c>
      <c r="D39" s="4"/>
      <c r="E39" s="20"/>
      <c r="F39" s="20"/>
      <c r="G39" s="20"/>
      <c r="H39" s="20"/>
    </row>
    <row r="40" spans="1:8" ht="20.100000000000001" customHeight="1" x14ac:dyDescent="0.25">
      <c r="A40" s="19" t="str">
        <f>UPPER(Atividade_table!A30)</f>
        <v/>
      </c>
      <c r="B40" s="4"/>
      <c r="C40" s="17" t="str">
        <f>UPPER(Atividade_table!B30)</f>
        <v/>
      </c>
      <c r="D40" s="4"/>
      <c r="E40" s="20"/>
      <c r="F40" s="20"/>
      <c r="G40" s="20"/>
      <c r="H40" s="20"/>
    </row>
    <row r="41" spans="1:8" ht="20.100000000000001" customHeight="1" x14ac:dyDescent="0.25">
      <c r="A41" s="19" t="str">
        <f>UPPER(Atividade_table!A31)</f>
        <v/>
      </c>
      <c r="B41" s="4"/>
      <c r="C41" s="17" t="str">
        <f>UPPER(Atividade_table!B31)</f>
        <v/>
      </c>
      <c r="D41" s="4"/>
      <c r="E41" s="20"/>
      <c r="F41" s="20"/>
      <c r="G41" s="20"/>
      <c r="H41" s="20"/>
    </row>
    <row r="42" spans="1:8" ht="20.100000000000001" customHeight="1" x14ac:dyDescent="0.25">
      <c r="A42" s="16"/>
      <c r="B42" s="4"/>
      <c r="C42" s="17"/>
      <c r="D42" s="4"/>
      <c r="E42" s="20"/>
      <c r="F42" s="20"/>
      <c r="G42" s="20"/>
      <c r="H42" s="20"/>
    </row>
  </sheetData>
  <mergeCells count="42">
    <mergeCell ref="E26:H26"/>
    <mergeCell ref="E27:H27"/>
    <mergeCell ref="E28:H28"/>
    <mergeCell ref="E29:H29"/>
    <mergeCell ref="E24:H24"/>
    <mergeCell ref="E20:H20"/>
    <mergeCell ref="E21:H21"/>
    <mergeCell ref="E22:H22"/>
    <mergeCell ref="E23:H23"/>
    <mergeCell ref="E25:H25"/>
    <mergeCell ref="E16:H16"/>
    <mergeCell ref="E17:H17"/>
    <mergeCell ref="E41:H41"/>
    <mergeCell ref="E42:H42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30:H30"/>
    <mergeCell ref="E19:H19"/>
    <mergeCell ref="E18:H18"/>
    <mergeCell ref="E12:H12"/>
    <mergeCell ref="C2:H3"/>
    <mergeCell ref="E4:E5"/>
    <mergeCell ref="F4:F5"/>
    <mergeCell ref="G4:G5"/>
    <mergeCell ref="H4:H5"/>
    <mergeCell ref="E7:H7"/>
    <mergeCell ref="E8:H8"/>
    <mergeCell ref="E9:H9"/>
    <mergeCell ref="E10:H10"/>
    <mergeCell ref="E11:H11"/>
    <mergeCell ref="E6:H6"/>
    <mergeCell ref="E13:H13"/>
    <mergeCell ref="E14:H14"/>
    <mergeCell ref="E15:H15"/>
  </mergeCells>
  <pageMargins left="0.7" right="0.7" top="0.75" bottom="0.75" header="0.3" footer="0.3"/>
  <pageSetup paperSize="9" scale="60" fitToHeight="0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78075A-BDE5-4B19-AC92-B8A4DEB790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Header</vt:lpstr>
      <vt:lpstr>Certificados_table</vt:lpstr>
      <vt:lpstr>Termos_table</vt:lpstr>
      <vt:lpstr>Atividade_table</vt:lpstr>
      <vt:lpstr>Lista Certificados</vt:lpstr>
      <vt:lpstr>Lista Termos</vt:lpstr>
      <vt:lpstr>Lista Atividade</vt:lpstr>
      <vt:lpstr>'Lista Atividade'!Print_Area</vt:lpstr>
      <vt:lpstr>'Lista Certificados'!Print_Area</vt:lpstr>
      <vt:lpstr>'Lista Termos'!Print_Area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Didata</dc:creator>
  <cp:lastModifiedBy>Nova Didata</cp:lastModifiedBy>
  <cp:lastPrinted>2023-04-29T16:58:22Z</cp:lastPrinted>
  <dcterms:created xsi:type="dcterms:W3CDTF">2023-04-27T20:23:12Z</dcterms:created>
  <dcterms:modified xsi:type="dcterms:W3CDTF">2023-04-29T16:58:22Z</dcterms:modified>
</cp:coreProperties>
</file>